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carv\Desktop\Excell Novo Curso\"/>
    </mc:Choice>
  </mc:AlternateContent>
  <xr:revisionPtr revIDLastSave="0" documentId="13_ncr:1_{23D26C86-ECA1-44CD-AE34-14F7505CF77F}" xr6:coauthVersionLast="47" xr6:coauthVersionMax="47" xr10:uidLastSave="{00000000-0000-0000-0000-000000000000}"/>
  <bookViews>
    <workbookView xWindow="-120" yWindow="-120" windowWidth="20730" windowHeight="111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3" l="1"/>
  <c r="E26" i="3"/>
  <c r="E19" i="3"/>
</calcChain>
</file>

<file path=xl/sharedStrings.xml><?xml version="1.0" encoding="utf-8"?>
<sst xmlns="http://schemas.openxmlformats.org/spreadsheetml/2006/main" count="2027" uniqueCount="324">
  <si>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</si>
  <si>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</si>
  <si>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</si>
  <si>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</si>
  <si>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</si>
  <si>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</si>
  <si>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</si>
  <si>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</si>
  <si>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</si>
  <si>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</si>
  <si>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</si>
  <si>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</si>
  <si>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</si>
  <si>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</si>
  <si>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</si>
  <si>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</si>
  <si>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</si>
  <si>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</si>
  <si>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</si>
  <si>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</si>
  <si>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</si>
  <si>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</si>
  <si>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</si>
  <si>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</si>
  <si>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</si>
  <si>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</si>
  <si>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</si>
  <si>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</si>
  <si>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</si>
  <si>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</si>
  <si>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</si>
  <si>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</si>
  <si>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</si>
  <si>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</si>
  <si>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</si>
  <si>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</si>
  <si>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</si>
  <si>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</si>
  <si>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</si>
  <si>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</si>
  <si>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</si>
  <si>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</si>
  <si>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</si>
  <si>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</si>
  <si>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</si>
  <si>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</si>
  <si>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</si>
  <si>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</si>
  <si>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</si>
  <si>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</si>
  <si>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</si>
  <si>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</si>
  <si>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</si>
  <si>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</si>
  <si>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</si>
  <si>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</si>
  <si>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</si>
  <si>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</si>
  <si>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</si>
  <si>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</si>
  <si>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</si>
  <si>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</si>
  <si>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</si>
  <si>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</si>
  <si>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</si>
  <si>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</si>
  <si>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</si>
  <si>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</si>
  <si>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</si>
  <si>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</si>
  <si>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</si>
  <si>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</si>
  <si>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</si>
  <si>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</si>
  <si>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</si>
  <si>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</si>
  <si>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</si>
  <si>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</si>
  <si>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</si>
  <si>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</si>
  <si>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</si>
  <si>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</si>
  <si>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</si>
  <si>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</si>
  <si>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</si>
  <si>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</si>
  <si>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</si>
  <si>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</si>
  <si>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</si>
  <si>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</si>
  <si>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</si>
  <si>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</si>
  <si>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</si>
  <si>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</si>
  <si>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</si>
  <si>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</si>
  <si>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</si>
  <si>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</si>
  <si>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</si>
  <si>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</si>
  <si>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</si>
  <si>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</si>
  <si>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</si>
  <si>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</si>
  <si>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</si>
  <si>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</si>
  <si>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</si>
  <si>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</si>
  <si>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</si>
  <si>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</si>
  <si>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</si>
  <si>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</si>
  <si>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</si>
  <si>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</si>
  <si>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</si>
  <si>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</si>
  <si>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</si>
  <si>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</si>
  <si>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</si>
  <si>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</si>
  <si>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</si>
  <si>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</si>
  <si>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</si>
  <si>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</si>
  <si>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</si>
  <si>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</si>
  <si>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</si>
  <si>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</si>
  <si>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</si>
  <si>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</si>
  <si>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</si>
  <si>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</si>
  <si>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</si>
  <si>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</si>
  <si>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</si>
  <si>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</si>
  <si>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</si>
  <si>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</si>
  <si>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</si>
  <si>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</si>
  <si>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</si>
  <si>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</si>
  <si>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</si>
  <si>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</si>
  <si>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</si>
  <si>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</si>
  <si>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</si>
  <si>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</si>
  <si>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</si>
  <si>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</si>
  <si>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</si>
  <si>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</si>
  <si>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</si>
  <si>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</si>
  <si>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</si>
  <si>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</si>
  <si>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</si>
  <si>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</si>
  <si>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</si>
  <si>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</si>
  <si>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</si>
  <si>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</si>
  <si>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</si>
  <si>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</si>
  <si>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</si>
  <si>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</si>
  <si>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</si>
  <si>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</si>
  <si>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</si>
  <si>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</si>
  <si>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</si>
  <si>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</si>
  <si>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</si>
  <si>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</si>
  <si>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</si>
  <si>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</si>
  <si>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</si>
  <si>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</si>
  <si>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</si>
  <si>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</si>
  <si>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</si>
  <si>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</si>
  <si>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</si>
  <si>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</si>
  <si>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</si>
  <si>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</si>
  <si>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</si>
  <si>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</si>
  <si>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</si>
  <si>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</si>
  <si>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</si>
  <si>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</si>
  <si>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</si>
  <si>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</si>
  <si>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</si>
  <si>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</si>
  <si>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</si>
  <si>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</si>
  <si>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</si>
  <si>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</si>
  <si>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</si>
  <si>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</si>
  <si>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</si>
  <si>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</si>
  <si>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</si>
  <si>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</si>
  <si>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</si>
  <si>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</si>
  <si>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</si>
  <si>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</si>
  <si>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</si>
  <si>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</si>
  <si>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</si>
  <si>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</si>
  <si>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</si>
  <si>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</si>
  <si>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</si>
  <si>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</si>
  <si>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</si>
  <si>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</si>
  <si>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</si>
  <si>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</si>
  <si>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</si>
  <si>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</si>
  <si>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</si>
  <si>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</si>
  <si>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</si>
  <si>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</si>
  <si>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</si>
  <si>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</si>
  <si>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</si>
  <si>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</si>
  <si>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</si>
  <si>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</si>
  <si>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</si>
  <si>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</si>
  <si>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</si>
  <si>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</si>
  <si>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</si>
  <si>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</si>
  <si>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</si>
  <si>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</si>
  <si>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</si>
  <si>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</si>
  <si>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</si>
  <si>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</si>
  <si>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</si>
  <si>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</si>
  <si>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</si>
  <si>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</si>
  <si>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</si>
  <si>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</si>
  <si>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</si>
  <si>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</si>
  <si>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</si>
  <si>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</si>
  <si>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</si>
  <si>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</si>
  <si>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</si>
  <si>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</si>
  <si>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</si>
  <si>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</si>
  <si>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</si>
  <si>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</si>
  <si>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</si>
  <si>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</si>
  <si>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</si>
  <si>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</si>
  <si>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</si>
  <si>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</si>
  <si>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</si>
  <si>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</si>
  <si>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</si>
  <si>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</si>
  <si>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</si>
  <si>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</si>
  <si>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</si>
  <si>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</si>
  <si>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</si>
  <si>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</si>
  <si>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</si>
  <si>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</si>
  <si>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</si>
  <si>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</si>
  <si>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</si>
  <si>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</si>
  <si>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</si>
  <si>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</si>
  <si>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</si>
  <si>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</si>
  <si>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</si>
  <si>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</si>
  <si>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</si>
  <si>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</si>
  <si>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</si>
  <si>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</si>
  <si>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</si>
  <si>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</si>
  <si>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</si>
  <si>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</si>
  <si>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</si>
  <si>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</si>
  <si>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</si>
  <si>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</si>
  <si>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</si>
  <si>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</si>
  <si>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</si>
  <si>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</si>
  <si>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</si>
  <si>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</si>
  <si>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</si>
  <si>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</si>
  <si>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</si>
  <si>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 xml:space="preserve">Pergunta de Negócio 1: Qual é o </t>
    </r>
    <r>
      <rPr>
        <b/>
        <i/>
        <sz val="11"/>
        <color theme="1"/>
        <rFont val="Aptos Narrow"/>
        <family val="2"/>
        <scheme val="minor"/>
      </rPr>
      <t>Faturamento Total</t>
    </r>
    <r>
      <rPr>
        <sz val="11"/>
        <color theme="1"/>
        <rFont val="Aptos Narrow"/>
        <family val="2"/>
        <scheme val="minor"/>
      </rPr>
      <t xml:space="preserve"> dos </t>
    </r>
    <r>
      <rPr>
        <b/>
        <i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que </t>
    </r>
    <r>
      <rPr>
        <b/>
        <i/>
        <sz val="11"/>
        <color theme="1"/>
        <rFont val="Aptos Narrow"/>
        <family val="2"/>
        <scheme val="minor"/>
      </rPr>
      <t>contém todas as asssinaturas agregadas</t>
    </r>
    <r>
      <rPr>
        <sz val="11"/>
        <color theme="1"/>
        <rFont val="Aptos Narrow"/>
        <family val="2"/>
        <scheme val="minor"/>
      </rPr>
      <t>.</t>
    </r>
  </si>
  <si>
    <t>Rótulos de Linha</t>
  </si>
  <si>
    <t>Total Geral</t>
  </si>
  <si>
    <t>Soma de Total Value</t>
  </si>
  <si>
    <r>
      <t xml:space="preserve">Pergunta de Negócio 2: Qual é o </t>
    </r>
    <r>
      <rPr>
        <b/>
        <i/>
        <sz val="11"/>
        <color theme="1"/>
        <rFont val="Aptos Narrow"/>
        <family val="2"/>
        <scheme val="minor"/>
      </rPr>
      <t>Faturamento Total</t>
    </r>
    <r>
      <rPr>
        <sz val="11"/>
        <color theme="1"/>
        <rFont val="Aptos Narrow"/>
        <family val="2"/>
        <scheme val="minor"/>
      </rPr>
      <t xml:space="preserve"> dos </t>
    </r>
    <r>
      <rPr>
        <b/>
        <i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com e sem auto-renovação.</t>
    </r>
  </si>
  <si>
    <r>
      <t xml:space="preserve">Pergunta de Negócio 3: Qual é o </t>
    </r>
    <r>
      <rPr>
        <b/>
        <i/>
        <sz val="11"/>
        <color theme="1"/>
        <rFont val="Aptos Narrow"/>
        <family val="2"/>
        <scheme val="minor"/>
      </rPr>
      <t>Faturamento Total</t>
    </r>
    <r>
      <rPr>
        <sz val="11"/>
        <color theme="1"/>
        <rFont val="Aptos Narrow"/>
        <family val="2"/>
        <scheme val="minor"/>
      </rPr>
      <t xml:space="preserve"> dos </t>
    </r>
    <r>
      <rPr>
        <b/>
        <i/>
        <sz val="11"/>
        <color theme="1"/>
        <rFont val="Aptos Narrow"/>
        <family val="2"/>
        <scheme val="minor"/>
      </rPr>
      <t>Planos EA Play</t>
    </r>
    <r>
      <rPr>
        <sz val="11"/>
        <color theme="1"/>
        <rFont val="Aptos Narrow"/>
        <family val="2"/>
        <scheme val="minor"/>
      </rPr>
      <t>.</t>
    </r>
  </si>
  <si>
    <t>Soma de EA Play Season Pass</t>
  </si>
  <si>
    <r>
      <t xml:space="preserve">Pergunta de Negócio 4: Qual é o </t>
    </r>
    <r>
      <rPr>
        <b/>
        <i/>
        <sz val="11"/>
        <color theme="1"/>
        <rFont val="Aptos Narrow"/>
        <family val="2"/>
        <scheme val="minor"/>
      </rPr>
      <t>Faturamento Total</t>
    </r>
    <r>
      <rPr>
        <sz val="11"/>
        <color theme="1"/>
        <rFont val="Aptos Narrow"/>
        <family val="2"/>
        <scheme val="minor"/>
      </rPr>
      <t xml:space="preserve"> dos </t>
    </r>
    <r>
      <rPr>
        <b/>
        <i/>
        <sz val="11"/>
        <color theme="1"/>
        <rFont val="Aptos Narrow"/>
        <family val="2"/>
        <scheme val="minor"/>
      </rPr>
      <t>Planos MineCraft</t>
    </r>
    <r>
      <rPr>
        <sz val="11"/>
        <color theme="1"/>
        <rFont val="Aptos Narrow"/>
        <family val="2"/>
        <scheme val="minor"/>
      </rPr>
      <t>.</t>
    </r>
  </si>
  <si>
    <t>Soma de Minecraft Season Pass Price</t>
  </si>
  <si>
    <t>XBOX GAME PASS SUBSCRIPTIONS SALES 01/01/2024 a 31/12/2024</t>
  </si>
  <si>
    <t>ÚLTIMA ATUALIZAÇÃO: 02/01/2025 ÀS 8:00 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</si>
</sst>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5BF6A8"/>
      <name val="Aptos Narrow"/>
      <family val="2"/>
      <scheme val="minor"/>
    </font>
    <font>
      <sz val="12"/>
      <color rgb="FF22C55E"/>
      <name val="Segoe UI Semibold"/>
      <family val="2"/>
    </font>
    <font>
      <b/>
      <sz val="21"/>
      <color rgb="FF22C55E"/>
      <name val="Segoe UI Semibold"/>
      <family val="2"/>
    </font>
    <font>
      <sz val="11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rgb="FF22C55E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  <xf numFmtId="0" fontId="6" fillId="7" borderId="0" xfId="0" applyFont="1" applyFill="1"/>
    <xf numFmtId="0" fontId="8" fillId="7" borderId="0" xfId="0" applyFont="1" applyFill="1"/>
    <xf numFmtId="0" fontId="7" fillId="7" borderId="0" xfId="1" applyFont="1" applyFill="1" applyBorder="1"/>
    <xf numFmtId="0" fontId="5" fillId="7" borderId="2" xfId="0" applyFont="1" applyFill="1" applyBorder="1"/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5BF6A8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3 2" pivot="0" table="0" count="10" xr9:uid="{093A77F7-7A1B-4546-95CB-B7B0BAA6BB3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[Dashboard.xlsx]C̳álculos!Tabela dinâmica1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1-4CA5-9CF5-F53E6A3EC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6319919"/>
        <c:axId val="1156317039"/>
      </c:barChart>
      <c:catAx>
        <c:axId val="1156319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6317039"/>
        <c:crosses val="autoZero"/>
        <c:auto val="1"/>
        <c:lblAlgn val="ctr"/>
        <c:lblOffset val="100"/>
        <c:noMultiLvlLbl val="0"/>
      </c:catAx>
      <c:valAx>
        <c:axId val="115631703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5631991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11.png"/><Relationship Id="rId7" Type="http://schemas.openxmlformats.org/officeDocument/2006/relationships/image" Target="../media/image10.sv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image" Target="../media/image9.png"/><Relationship Id="rId5" Type="http://schemas.openxmlformats.org/officeDocument/2006/relationships/image" Target="../media/image13.png"/><Relationship Id="rId4" Type="http://schemas.openxmlformats.org/officeDocument/2006/relationships/image" Target="../media/image12.sv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52287</xdr:rowOff>
    </xdr:from>
    <xdr:to>
      <xdr:col>0</xdr:col>
      <xdr:colOff>1819274</xdr:colOff>
      <xdr:row>11</xdr:row>
      <xdr:rowOff>145363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D9BE3CD9-5F0E-49C2-A8E0-33E56690D5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39744"/>
              <a:ext cx="1819274" cy="1583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202406</xdr:colOff>
      <xdr:row>5</xdr:row>
      <xdr:rowOff>11906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8A33C5A-F522-493A-9F17-CC157F736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93219" cy="928687"/>
        </a:xfrm>
        <a:prstGeom prst="rect">
          <a:avLst/>
        </a:prstGeom>
      </xdr:spPr>
    </xdr:pic>
    <xdr:clientData/>
  </xdr:twoCellAnchor>
  <xdr:twoCellAnchor>
    <xdr:from>
      <xdr:col>1</xdr:col>
      <xdr:colOff>239159</xdr:colOff>
      <xdr:row>7</xdr:row>
      <xdr:rowOff>51363</xdr:rowOff>
    </xdr:from>
    <xdr:to>
      <xdr:col>3</xdr:col>
      <xdr:colOff>3332714</xdr:colOff>
      <xdr:row>14</xdr:row>
      <xdr:rowOff>139353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18C78051-C81D-15B4-0A9F-4D5BE8985DB6}"/>
            </a:ext>
          </a:extLst>
        </xdr:cNvPr>
        <xdr:cNvGrpSpPr/>
      </xdr:nvGrpSpPr>
      <xdr:grpSpPr>
        <a:xfrm>
          <a:off x="2086181" y="1459406"/>
          <a:ext cx="3946663" cy="1429773"/>
          <a:chOff x="2357437" y="1619249"/>
          <a:chExt cx="3940969" cy="1419534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BF3DD55E-1CF5-9C60-182E-9D08BFABD5DA}"/>
              </a:ext>
            </a:extLst>
          </xdr:cNvPr>
          <xdr:cNvGrpSpPr/>
        </xdr:nvGrpSpPr>
        <xdr:grpSpPr>
          <a:xfrm>
            <a:off x="2357437" y="1619249"/>
            <a:ext cx="3940969" cy="1419534"/>
            <a:chOff x="2357437" y="1619249"/>
            <a:chExt cx="3940969" cy="1419534"/>
          </a:xfrm>
        </xdr:grpSpPr>
        <xdr:sp macro="" textlink="C̳álculos!E26">
          <xdr:nvSpPr>
            <xdr:cNvPr id="4" name="Retângulo: Cantos Arredondados 3">
              <a:extLst>
                <a:ext uri="{FF2B5EF4-FFF2-40B4-BE49-F238E27FC236}">
                  <a16:creationId xmlns:a16="http://schemas.microsoft.com/office/drawing/2014/main" id="{76614C7F-8B13-BC08-4693-4C35A876D2BE}"/>
                </a:ext>
              </a:extLst>
            </xdr:cNvPr>
            <xdr:cNvSpPr/>
          </xdr:nvSpPr>
          <xdr:spPr>
            <a:xfrm>
              <a:off x="2357437" y="1619249"/>
              <a:ext cx="3940969" cy="1202531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r"/>
              <a:fld id="{72EEC03E-F9EB-4079-BEAC-C3EE29512BF1}" type="TxLink">
                <a:rPr lang="en-US" sz="2800" b="0" i="0" u="none" strike="noStrike">
                  <a:solidFill>
                    <a:srgbClr val="22C55E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rPr>
                <a:pPr algn="r"/>
                <a:t> R$ 990,00 </a:t>
              </a:fld>
              <a:endParaRPr lang="pt-BR" sz="2800">
                <a:solidFill>
                  <a:srgbClr val="22C55E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endParaRPr>
            </a:p>
          </xdr:txBody>
        </xdr:sp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D2A99175-CB07-4E8F-8F61-7441AECE36C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797970" y="1819583"/>
              <a:ext cx="1219200" cy="1219200"/>
            </a:xfrm>
            <a:prstGeom prst="rect">
              <a:avLst/>
            </a:prstGeom>
          </xdr:spPr>
        </xdr:pic>
      </xdr:grp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56FA304A-FDBA-50B6-E2B9-274406A30CD4}"/>
              </a:ext>
            </a:extLst>
          </xdr:cNvPr>
          <xdr:cNvSpPr/>
        </xdr:nvSpPr>
        <xdr:spPr>
          <a:xfrm>
            <a:off x="2357437" y="1619251"/>
            <a:ext cx="3940969" cy="285750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30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TOTAL SUBSCRIPTIONS EA</a:t>
            </a:r>
            <a:r>
              <a:rPr lang="pt-BR" sz="1300" baseline="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PLAY SEASON PASS</a:t>
            </a:r>
            <a:endParaRPr lang="pt-BR" sz="130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</xdr:grpSp>
    <xdr:clientData/>
  </xdr:twoCellAnchor>
  <xdr:twoCellAnchor>
    <xdr:from>
      <xdr:col>4</xdr:col>
      <xdr:colOff>154780</xdr:colOff>
      <xdr:row>7</xdr:row>
      <xdr:rowOff>47625</xdr:rowOff>
    </xdr:from>
    <xdr:to>
      <xdr:col>10</xdr:col>
      <xdr:colOff>452437</xdr:colOff>
      <xdr:row>13</xdr:row>
      <xdr:rowOff>119061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33F65A36-56F0-43E2-13A5-A2783EA27FDD}"/>
            </a:ext>
          </a:extLst>
        </xdr:cNvPr>
        <xdr:cNvGrpSpPr/>
      </xdr:nvGrpSpPr>
      <xdr:grpSpPr>
        <a:xfrm>
          <a:off x="6739454" y="1455668"/>
          <a:ext cx="3975135" cy="1222719"/>
          <a:chOff x="6786561" y="1619250"/>
          <a:chExt cx="3940970" cy="1214436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B6D0C2D2-FF50-5EA3-2905-98521B833839}"/>
              </a:ext>
            </a:extLst>
          </xdr:cNvPr>
          <xdr:cNvGrpSpPr/>
        </xdr:nvGrpSpPr>
        <xdr:grpSpPr>
          <a:xfrm>
            <a:off x="6786562" y="1631155"/>
            <a:ext cx="3940969" cy="1202531"/>
            <a:chOff x="6786562" y="1631155"/>
            <a:chExt cx="3940969" cy="1202531"/>
          </a:xfrm>
        </xdr:grpSpPr>
        <xdr:grpSp>
          <xdr:nvGrpSpPr>
            <xdr:cNvPr id="14" name="Agrupar 13">
              <a:extLst>
                <a:ext uri="{FF2B5EF4-FFF2-40B4-BE49-F238E27FC236}">
                  <a16:creationId xmlns:a16="http://schemas.microsoft.com/office/drawing/2014/main" id="{D43BF27F-F13E-58FB-7BC4-C0D7AC4CD0E4}"/>
                </a:ext>
              </a:extLst>
            </xdr:cNvPr>
            <xdr:cNvGrpSpPr/>
          </xdr:nvGrpSpPr>
          <xdr:grpSpPr>
            <a:xfrm>
              <a:off x="6786562" y="1631155"/>
              <a:ext cx="3940969" cy="1202531"/>
              <a:chOff x="6786562" y="1631155"/>
              <a:chExt cx="3940969" cy="1202531"/>
            </a:xfrm>
            <a:solidFill>
              <a:sysClr val="window" lastClr="FFFFFF"/>
            </a:solidFill>
          </xdr:grpSpPr>
          <xdr:sp macro="" textlink="C̳álculos!E35">
            <xdr:nvSpPr>
              <xdr:cNvPr id="9" name="Retângulo: Cantos Arredondados 8">
                <a:extLst>
                  <a:ext uri="{FF2B5EF4-FFF2-40B4-BE49-F238E27FC236}">
                    <a16:creationId xmlns:a16="http://schemas.microsoft.com/office/drawing/2014/main" id="{0BF31EBE-18BA-8732-651A-EEAD9E4C7187}"/>
                  </a:ext>
                </a:extLst>
              </xdr:cNvPr>
              <xdr:cNvSpPr/>
            </xdr:nvSpPr>
            <xdr:spPr>
              <a:xfrm>
                <a:off x="6786562" y="1631155"/>
                <a:ext cx="3940969" cy="1202531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b"/>
              <a:lstStyle/>
              <a:p>
                <a:pPr algn="r"/>
                <a:fld id="{F1437FE9-6D47-4434-BD51-CA49D75B6371}" type="TxLink">
                  <a:rPr lang="en-US" sz="2800" b="0" i="0" u="none" strike="noStrike">
                    <a:solidFill>
                      <a:srgbClr val="22C55E"/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pPr algn="r"/>
                  <a:t> R$ 1.140,00 </a:t>
                </a:fld>
                <a:endParaRPr lang="pt-BR" sz="6000">
                  <a:solidFill>
                    <a:srgbClr val="22C55E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xdr:txBody>
          </xdr:sp>
          <xdr:pic>
            <xdr:nvPicPr>
              <xdr:cNvPr id="13" name="Gráfico 12">
                <a:extLst>
                  <a:ext uri="{FF2B5EF4-FFF2-40B4-BE49-F238E27FC236}">
                    <a16:creationId xmlns:a16="http://schemas.microsoft.com/office/drawing/2014/main" id="{945DFC99-53A9-D3D0-2A8D-8E8B3E61819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>
                <a:extLst>
                  <a:ext uri="{96DAC541-7B7A-43D3-8B79-37D633B846F1}">
                    <asvg:svgBlip xmlns:asvg="http://schemas.microsoft.com/office/drawing/2016/SVG/main" r:embed="rId4"/>
                  </a:ext>
                </a:extLst>
              </a:blip>
              <a:stretch>
                <a:fillRect/>
              </a:stretch>
            </xdr:blipFill>
            <xdr:spPr>
              <a:xfrm>
                <a:off x="6810376" y="2305266"/>
                <a:ext cx="1083468" cy="183142"/>
              </a:xfrm>
              <a:prstGeom prst="rect">
                <a:avLst/>
              </a:prstGeom>
            </xdr:spPr>
          </xdr:pic>
        </xdr:grpSp>
        <xdr:grpSp>
          <xdr:nvGrpSpPr>
            <xdr:cNvPr id="15" name="Agrupar 14">
              <a:extLst>
                <a:ext uri="{FF2B5EF4-FFF2-40B4-BE49-F238E27FC236}">
                  <a16:creationId xmlns:a16="http://schemas.microsoft.com/office/drawing/2014/main" id="{A2F760CA-EC25-4A1A-BBF3-2AF42B50918D}"/>
                </a:ext>
              </a:extLst>
            </xdr:cNvPr>
            <xdr:cNvGrpSpPr/>
          </xdr:nvGrpSpPr>
          <xdr:grpSpPr>
            <a:xfrm>
              <a:off x="7227094" y="2070184"/>
              <a:ext cx="976312" cy="571501"/>
              <a:chOff x="4005869" y="5602491"/>
              <a:chExt cx="1549476" cy="752476"/>
            </a:xfrm>
          </xdr:grpSpPr>
          <xdr:pic>
            <xdr:nvPicPr>
              <xdr:cNvPr id="16" name="Imagem 15">
                <a:extLst>
                  <a:ext uri="{FF2B5EF4-FFF2-40B4-BE49-F238E27FC236}">
                    <a16:creationId xmlns:a16="http://schemas.microsoft.com/office/drawing/2014/main" id="{642DB588-96A8-8CA2-42D6-E9115D7948C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4508802" y="5602491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17" name="Gráfico 16">
                <a:extLst>
                  <a:ext uri="{FF2B5EF4-FFF2-40B4-BE49-F238E27FC236}">
                    <a16:creationId xmlns:a16="http://schemas.microsoft.com/office/drawing/2014/main" id="{1E8AAACB-CE1D-7901-E396-5B8142F0448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">
                <a:extLst>
                  <a:ext uri="{96DAC541-7B7A-43D3-8B79-37D633B846F1}">
                    <asvg:svgBlip xmlns:asvg="http://schemas.microsoft.com/office/drawing/2016/SVG/main" r:embed="rId7"/>
                  </a:ext>
                </a:extLst>
              </a:blip>
              <a:stretch>
                <a:fillRect/>
              </a:stretch>
            </xdr:blipFill>
            <xdr:spPr>
              <a:xfrm>
                <a:off x="4005869" y="6097754"/>
                <a:ext cx="1549476" cy="257213"/>
              </a:xfrm>
              <a:prstGeom prst="rect">
                <a:avLst/>
              </a:prstGeom>
            </xdr:spPr>
          </xdr:pic>
        </xdr:grpSp>
      </xdr:grpSp>
      <xdr:sp macro="" textlink="">
        <xdr:nvSpPr>
          <xdr:cNvPr id="20" name="Retângulo: Cantos Superiores Arredondados 19">
            <a:extLst>
              <a:ext uri="{FF2B5EF4-FFF2-40B4-BE49-F238E27FC236}">
                <a16:creationId xmlns:a16="http://schemas.microsoft.com/office/drawing/2014/main" id="{1BD5DD35-CF0A-92B8-317E-AAF7D54AFDC0}"/>
              </a:ext>
            </a:extLst>
          </xdr:cNvPr>
          <xdr:cNvSpPr/>
        </xdr:nvSpPr>
        <xdr:spPr>
          <a:xfrm>
            <a:off x="6786561" y="1619250"/>
            <a:ext cx="3940969" cy="285750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250">
                <a:solidFill>
                  <a:schemeClr val="lt1"/>
                </a:solidFill>
                <a:effectLst/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TOTAL SUBSCRIPTIONS  MINECRAFT</a:t>
            </a:r>
            <a:r>
              <a:rPr lang="pt-BR" sz="1250" baseline="0">
                <a:solidFill>
                  <a:schemeClr val="lt1"/>
                </a:solidFill>
                <a:effectLst/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 SEASON PASS</a:t>
            </a:r>
            <a:endParaRPr lang="pt-BR" sz="1250">
              <a:effectLst/>
              <a:latin typeface="Segoe UI Semibold" panose="020B0702040204020203" pitchFamily="34" charset="0"/>
              <a:cs typeface="Segoe UI Semibold" panose="020B0702040204020203" pitchFamily="34" charset="0"/>
            </a:endParaRPr>
          </a:p>
          <a:p>
            <a:pPr algn="l"/>
            <a:endParaRPr lang="pt-BR" sz="1100"/>
          </a:p>
        </xdr:txBody>
      </xdr:sp>
    </xdr:grpSp>
    <xdr:clientData/>
  </xdr:twoCellAnchor>
  <xdr:twoCellAnchor>
    <xdr:from>
      <xdr:col>2</xdr:col>
      <xdr:colOff>47624</xdr:colOff>
      <xdr:row>15</xdr:row>
      <xdr:rowOff>47625</xdr:rowOff>
    </xdr:from>
    <xdr:to>
      <xdr:col>10</xdr:col>
      <xdr:colOff>464343</xdr:colOff>
      <xdr:row>27</xdr:row>
      <xdr:rowOff>57151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A929D8BE-8E86-B473-E1A5-D6CB37D6F254}"/>
            </a:ext>
          </a:extLst>
        </xdr:cNvPr>
        <xdr:cNvGrpSpPr/>
      </xdr:nvGrpSpPr>
      <xdr:grpSpPr>
        <a:xfrm>
          <a:off x="2134841" y="2987951"/>
          <a:ext cx="8591654" cy="2295526"/>
          <a:chOff x="2131218" y="3131344"/>
          <a:chExt cx="8548688" cy="2295526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8128C342-5651-4F49-9079-9EE25402A244}"/>
              </a:ext>
            </a:extLst>
          </xdr:cNvPr>
          <xdr:cNvGraphicFramePr>
            <a:graphicFrameLocks/>
          </xdr:cNvGraphicFramePr>
        </xdr:nvGraphicFramePr>
        <xdr:xfrm>
          <a:off x="2131218" y="3155157"/>
          <a:ext cx="8524876" cy="22717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7E8A4BAA-8C32-4839-973C-A368CA7335EE}"/>
              </a:ext>
            </a:extLst>
          </xdr:cNvPr>
          <xdr:cNvSpPr/>
        </xdr:nvSpPr>
        <xdr:spPr>
          <a:xfrm>
            <a:off x="2131219" y="3131344"/>
            <a:ext cx="8548687" cy="285750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250">
                <a:solidFill>
                  <a:schemeClr val="lt1"/>
                </a:solidFill>
                <a:effectLst/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TOTAL SUBSCRIPTIONS  XBOX</a:t>
            </a:r>
            <a:r>
              <a:rPr lang="pt-BR" sz="1250" baseline="0">
                <a:solidFill>
                  <a:schemeClr val="lt1"/>
                </a:solidFill>
                <a:effectLst/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 GAME PASS - AUTO-RENEWAL - YES OR NOT</a:t>
            </a:r>
            <a:endParaRPr lang="pt-BR" sz="1250">
              <a:effectLst/>
              <a:latin typeface="Segoe UI Semibold" panose="020B0702040204020203" pitchFamily="34" charset="0"/>
              <a:cs typeface="Segoe UI Semibold" panose="020B0702040204020203" pitchFamily="34" charset="0"/>
            </a:endParaRPr>
          </a:p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0</xdr:col>
      <xdr:colOff>48868</xdr:colOff>
      <xdr:row>11</xdr:row>
      <xdr:rowOff>166895</xdr:rowOff>
    </xdr:from>
    <xdr:to>
      <xdr:col>0</xdr:col>
      <xdr:colOff>1830456</xdr:colOff>
      <xdr:row>14</xdr:row>
      <xdr:rowOff>173934</xdr:rowOff>
    </xdr:to>
    <xdr:grpSp>
      <xdr:nvGrpSpPr>
        <xdr:cNvPr id="34" name="Anderson">
          <a:extLst>
            <a:ext uri="{FF2B5EF4-FFF2-40B4-BE49-F238E27FC236}">
              <a16:creationId xmlns:a16="http://schemas.microsoft.com/office/drawing/2014/main" id="{969C04F0-3FD9-A6F7-781F-EFAF65112BC5}"/>
            </a:ext>
          </a:extLst>
        </xdr:cNvPr>
        <xdr:cNvGrpSpPr/>
      </xdr:nvGrpSpPr>
      <xdr:grpSpPr>
        <a:xfrm>
          <a:off x="48868" y="2345221"/>
          <a:ext cx="1781588" cy="578539"/>
          <a:chOff x="48868" y="3339134"/>
          <a:chExt cx="1781588" cy="578539"/>
        </a:xfrm>
      </xdr:grpSpPr>
      <xdr:sp macro="" textlink="">
        <xdr:nvSpPr>
          <xdr:cNvPr id="11" name="Anderson">
            <a:extLst>
              <a:ext uri="{FF2B5EF4-FFF2-40B4-BE49-F238E27FC236}">
                <a16:creationId xmlns:a16="http://schemas.microsoft.com/office/drawing/2014/main" id="{F0CB4D0E-9263-4E03-AB5A-6F111EBC4586}"/>
              </a:ext>
            </a:extLst>
          </xdr:cNvPr>
          <xdr:cNvSpPr/>
        </xdr:nvSpPr>
        <xdr:spPr>
          <a:xfrm>
            <a:off x="48868" y="3339134"/>
            <a:ext cx="540000" cy="540000"/>
          </a:xfrm>
          <a:prstGeom prst="ellipse">
            <a:avLst/>
          </a:prstGeom>
          <a:blipFill>
            <a:blip xmlns:r="http://schemas.openxmlformats.org/officeDocument/2006/relationships" r:embed="rId9"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grpSp>
        <xdr:nvGrpSpPr>
          <xdr:cNvPr id="28" name="Agrupar 27">
            <a:extLst>
              <a:ext uri="{FF2B5EF4-FFF2-40B4-BE49-F238E27FC236}">
                <a16:creationId xmlns:a16="http://schemas.microsoft.com/office/drawing/2014/main" id="{9234759E-8B33-939D-D179-06DD0C120193}"/>
              </a:ext>
            </a:extLst>
          </xdr:cNvPr>
          <xdr:cNvGrpSpPr/>
        </xdr:nvGrpSpPr>
        <xdr:grpSpPr>
          <a:xfrm>
            <a:off x="604632" y="3390900"/>
            <a:ext cx="1225824" cy="526773"/>
            <a:chOff x="538371" y="4012095"/>
            <a:chExt cx="1225824" cy="526773"/>
          </a:xfrm>
        </xdr:grpSpPr>
        <xdr:sp macro="" textlink="">
          <xdr:nvSpPr>
            <xdr:cNvPr id="12" name="Retângulo: Cantos Arredondados 11">
              <a:extLst>
                <a:ext uri="{FF2B5EF4-FFF2-40B4-BE49-F238E27FC236}">
                  <a16:creationId xmlns:a16="http://schemas.microsoft.com/office/drawing/2014/main" id="{478DEE16-97EC-4D14-88A9-A38F97F30058}"/>
                </a:ext>
              </a:extLst>
            </xdr:cNvPr>
            <xdr:cNvSpPr/>
          </xdr:nvSpPr>
          <xdr:spPr>
            <a:xfrm>
              <a:off x="538371" y="4033629"/>
              <a:ext cx="1217544" cy="438978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27" name="Agrupar 26">
              <a:extLst>
                <a:ext uri="{FF2B5EF4-FFF2-40B4-BE49-F238E27FC236}">
                  <a16:creationId xmlns:a16="http://schemas.microsoft.com/office/drawing/2014/main" id="{1A838EC9-7048-1B9F-8814-EB54353B3A62}"/>
                </a:ext>
              </a:extLst>
            </xdr:cNvPr>
            <xdr:cNvGrpSpPr/>
          </xdr:nvGrpSpPr>
          <xdr:grpSpPr>
            <a:xfrm>
              <a:off x="563217" y="4012095"/>
              <a:ext cx="1200978" cy="526773"/>
              <a:chOff x="621196" y="3316356"/>
              <a:chExt cx="1200978" cy="526773"/>
            </a:xfrm>
          </xdr:grpSpPr>
          <xdr:sp macro="" textlink="">
            <xdr:nvSpPr>
              <xdr:cNvPr id="23" name="CaixaDeTexto 22">
                <a:extLst>
                  <a:ext uri="{FF2B5EF4-FFF2-40B4-BE49-F238E27FC236}">
                    <a16:creationId xmlns:a16="http://schemas.microsoft.com/office/drawing/2014/main" id="{82CCFE27-A418-C678-E029-1D342ED5B488}"/>
                  </a:ext>
                </a:extLst>
              </xdr:cNvPr>
              <xdr:cNvSpPr txBox="1"/>
            </xdr:nvSpPr>
            <xdr:spPr>
              <a:xfrm>
                <a:off x="637760" y="3528390"/>
                <a:ext cx="1134718" cy="31473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US">
                    <a:solidFill>
                      <a:schemeClr val="bg1"/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Anderson</a:t>
                </a:r>
              </a:p>
            </xdr:txBody>
          </xdr:sp>
          <xdr:sp macro="" textlink="">
            <xdr:nvSpPr>
              <xdr:cNvPr id="26" name="CaixaDeTexto 25">
                <a:extLst>
                  <a:ext uri="{FF2B5EF4-FFF2-40B4-BE49-F238E27FC236}">
                    <a16:creationId xmlns:a16="http://schemas.microsoft.com/office/drawing/2014/main" id="{B68FEEF8-6CDC-4103-A2B6-382B8C5BCD9E}"/>
                  </a:ext>
                </a:extLst>
              </xdr:cNvPr>
              <xdr:cNvSpPr txBox="1"/>
            </xdr:nvSpPr>
            <xdr:spPr>
              <a:xfrm>
                <a:off x="621196" y="3316356"/>
                <a:ext cx="1200978" cy="21534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US" sz="1100" b="0" i="0" u="none" strike="noStrike">
                    <a:solidFill>
                      <a:schemeClr val="bg1"/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Seja Bem-Vindo</a:t>
                </a:r>
              </a:p>
            </xdr:txBody>
          </xdr:sp>
        </xdr:grpSp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z Araujo" refreshedDate="46093.692967824078" createdVersion="8" refreshedVersion="8" minRefreshableVersion="3" recordCount="295" xr:uid="{E5AEC4FA-7603-4F77-81BA-C3ECAA1F2B7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882040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x v="0"/>
    <x v="0"/>
    <x v="0"/>
    <x v="0"/>
    <x v="0"/>
    <x v="0"/>
    <n v="5"/>
    <n v="60"/>
  </r>
  <r>
    <n v="3232"/>
    <s v="Maria Oliveira"/>
    <x v="1"/>
    <d v="2024-01-15T00:00:00"/>
    <x v="1"/>
    <x v="1"/>
    <x v="1"/>
    <x v="1"/>
    <x v="1"/>
    <x v="1"/>
    <x v="1"/>
    <n v="0"/>
    <n v="5"/>
  </r>
  <r>
    <n v="3233"/>
    <s v="Lucas Fernandes"/>
    <x v="2"/>
    <d v="2024-02-10T00:00:00"/>
    <x v="0"/>
    <x v="2"/>
    <x v="2"/>
    <x v="1"/>
    <x v="1"/>
    <x v="0"/>
    <x v="0"/>
    <n v="10"/>
    <n v="20"/>
  </r>
  <r>
    <n v="3234"/>
    <s v="Ana Souza"/>
    <x v="0"/>
    <d v="2024-02-20T00:00:00"/>
    <x v="1"/>
    <x v="0"/>
    <x v="0"/>
    <x v="0"/>
    <x v="0"/>
    <x v="0"/>
    <x v="0"/>
    <n v="3"/>
    <n v="62"/>
  </r>
  <r>
    <n v="3235"/>
    <s v="Pedro Gonçalves"/>
    <x v="1"/>
    <d v="2024-03-05T00:00:00"/>
    <x v="0"/>
    <x v="1"/>
    <x v="0"/>
    <x v="1"/>
    <x v="1"/>
    <x v="1"/>
    <x v="1"/>
    <n v="1"/>
    <n v="4"/>
  </r>
  <r>
    <n v="3236"/>
    <s v="Felipe Costa"/>
    <x v="2"/>
    <d v="2024-03-02T00:00:00"/>
    <x v="1"/>
    <x v="2"/>
    <x v="0"/>
    <x v="1"/>
    <x v="1"/>
    <x v="0"/>
    <x v="0"/>
    <n v="2"/>
    <n v="28"/>
  </r>
  <r>
    <n v="3237"/>
    <s v="Camila Ribeiro"/>
    <x v="0"/>
    <d v="2024-03-03T00:00:00"/>
    <x v="0"/>
    <x v="0"/>
    <x v="2"/>
    <x v="0"/>
    <x v="0"/>
    <x v="0"/>
    <x v="0"/>
    <n v="10"/>
    <n v="55"/>
  </r>
  <r>
    <n v="3238"/>
    <s v="André Mendes"/>
    <x v="1"/>
    <d v="2024-03-04T00:00:00"/>
    <x v="0"/>
    <x v="1"/>
    <x v="1"/>
    <x v="1"/>
    <x v="1"/>
    <x v="1"/>
    <x v="1"/>
    <n v="0"/>
    <n v="5"/>
  </r>
  <r>
    <n v="3239"/>
    <s v="Sofia Almeida"/>
    <x v="0"/>
    <d v="2024-03-05T00:00:00"/>
    <x v="1"/>
    <x v="0"/>
    <x v="0"/>
    <x v="0"/>
    <x v="0"/>
    <x v="0"/>
    <x v="0"/>
    <n v="5"/>
    <n v="60"/>
  </r>
  <r>
    <n v="3240"/>
    <s v="Bruno Martins"/>
    <x v="2"/>
    <d v="2024-03-06T00:00:00"/>
    <x v="0"/>
    <x v="2"/>
    <x v="2"/>
    <x v="1"/>
    <x v="1"/>
    <x v="0"/>
    <x v="0"/>
    <n v="15"/>
    <n v="15"/>
  </r>
  <r>
    <n v="3241"/>
    <s v="Rita Castro"/>
    <x v="1"/>
    <d v="2024-03-07T00:00:00"/>
    <x v="1"/>
    <x v="1"/>
    <x v="0"/>
    <x v="1"/>
    <x v="1"/>
    <x v="1"/>
    <x v="1"/>
    <n v="1"/>
    <n v="4"/>
  </r>
  <r>
    <n v="3242"/>
    <s v="Marco Túlio"/>
    <x v="0"/>
    <d v="2024-03-08T00:00:00"/>
    <x v="0"/>
    <x v="0"/>
    <x v="1"/>
    <x v="0"/>
    <x v="0"/>
    <x v="0"/>
    <x v="0"/>
    <n v="20"/>
    <n v="45"/>
  </r>
  <r>
    <n v="3243"/>
    <s v="Lívia Silveira"/>
    <x v="2"/>
    <d v="2024-03-09T00:00:00"/>
    <x v="1"/>
    <x v="2"/>
    <x v="0"/>
    <x v="1"/>
    <x v="1"/>
    <x v="0"/>
    <x v="0"/>
    <n v="10"/>
    <n v="20"/>
  </r>
  <r>
    <n v="3244"/>
    <s v="Diogo Sousa"/>
    <x v="1"/>
    <d v="2024-03-10T00:00:00"/>
    <x v="0"/>
    <x v="1"/>
    <x v="2"/>
    <x v="1"/>
    <x v="1"/>
    <x v="1"/>
    <x v="1"/>
    <n v="0"/>
    <n v="5"/>
  </r>
  <r>
    <n v="3245"/>
    <s v="Fernanda Lima"/>
    <x v="0"/>
    <d v="2024-03-11T00:00:00"/>
    <x v="1"/>
    <x v="0"/>
    <x v="0"/>
    <x v="0"/>
    <x v="0"/>
    <x v="0"/>
    <x v="0"/>
    <n v="8"/>
    <n v="57"/>
  </r>
  <r>
    <n v="3246"/>
    <s v="Caio Pereira"/>
    <x v="2"/>
    <d v="2024-03-12T00:00:00"/>
    <x v="0"/>
    <x v="2"/>
    <x v="1"/>
    <x v="1"/>
    <x v="1"/>
    <x v="0"/>
    <x v="0"/>
    <n v="12"/>
    <n v="18"/>
  </r>
  <r>
    <n v="3247"/>
    <s v="Beatriz Gomes"/>
    <x v="1"/>
    <d v="2024-03-13T00:00:00"/>
    <x v="1"/>
    <x v="1"/>
    <x v="0"/>
    <x v="1"/>
    <x v="1"/>
    <x v="1"/>
    <x v="1"/>
    <n v="2"/>
    <n v="3"/>
  </r>
  <r>
    <n v="3248"/>
    <s v="Cesar Oliveira"/>
    <x v="0"/>
    <d v="2024-03-14T00:00:00"/>
    <x v="0"/>
    <x v="0"/>
    <x v="2"/>
    <x v="0"/>
    <x v="0"/>
    <x v="0"/>
    <x v="0"/>
    <n v="7"/>
    <n v="58"/>
  </r>
  <r>
    <n v="3249"/>
    <s v="Débora Machado"/>
    <x v="2"/>
    <d v="2024-03-15T00:00:00"/>
    <x v="1"/>
    <x v="2"/>
    <x v="0"/>
    <x v="1"/>
    <x v="1"/>
    <x v="0"/>
    <x v="0"/>
    <n v="5"/>
    <n v="25"/>
  </r>
  <r>
    <n v="3250"/>
    <s v="Eduardo Vargas"/>
    <x v="1"/>
    <d v="2024-03-16T00:00:00"/>
    <x v="0"/>
    <x v="1"/>
    <x v="1"/>
    <x v="1"/>
    <x v="1"/>
    <x v="1"/>
    <x v="1"/>
    <n v="0"/>
    <n v="5"/>
  </r>
  <r>
    <n v="3251"/>
    <s v="Gabriela Santos"/>
    <x v="0"/>
    <d v="2024-03-17T00:00:00"/>
    <x v="1"/>
    <x v="0"/>
    <x v="0"/>
    <x v="0"/>
    <x v="0"/>
    <x v="0"/>
    <x v="0"/>
    <n v="3"/>
    <n v="62"/>
  </r>
  <r>
    <n v="3252"/>
    <s v="Henrique Dias"/>
    <x v="2"/>
    <d v="2024-03-18T00:00:00"/>
    <x v="0"/>
    <x v="2"/>
    <x v="2"/>
    <x v="1"/>
    <x v="1"/>
    <x v="0"/>
    <x v="0"/>
    <n v="15"/>
    <n v="15"/>
  </r>
  <r>
    <n v="3253"/>
    <s v="Isabela Moreira"/>
    <x v="1"/>
    <d v="2024-03-19T00:00:00"/>
    <x v="1"/>
    <x v="1"/>
    <x v="0"/>
    <x v="1"/>
    <x v="1"/>
    <x v="1"/>
    <x v="1"/>
    <n v="1"/>
    <n v="4"/>
  </r>
  <r>
    <n v="3254"/>
    <s v="Joaquim Barbosa"/>
    <x v="0"/>
    <d v="2024-03-20T00:00:00"/>
    <x v="0"/>
    <x v="0"/>
    <x v="1"/>
    <x v="0"/>
    <x v="0"/>
    <x v="0"/>
    <x v="0"/>
    <n v="20"/>
    <n v="45"/>
  </r>
  <r>
    <n v="3255"/>
    <s v="Lara Rocha"/>
    <x v="2"/>
    <d v="2024-03-21T00:00:00"/>
    <x v="1"/>
    <x v="2"/>
    <x v="0"/>
    <x v="1"/>
    <x v="1"/>
    <x v="0"/>
    <x v="0"/>
    <n v="10"/>
    <n v="20"/>
  </r>
  <r>
    <n v="3256"/>
    <s v="Matheus Silva"/>
    <x v="1"/>
    <d v="2024-03-22T00:00:00"/>
    <x v="0"/>
    <x v="1"/>
    <x v="2"/>
    <x v="1"/>
    <x v="1"/>
    <x v="1"/>
    <x v="1"/>
    <n v="0"/>
    <n v="5"/>
  </r>
  <r>
    <n v="3257"/>
    <s v="Nicole Costa"/>
    <x v="0"/>
    <d v="2024-03-23T00:00:00"/>
    <x v="1"/>
    <x v="0"/>
    <x v="0"/>
    <x v="0"/>
    <x v="0"/>
    <x v="0"/>
    <x v="0"/>
    <n v="5"/>
    <n v="60"/>
  </r>
  <r>
    <n v="3258"/>
    <s v="Otávio Mendonça"/>
    <x v="2"/>
    <d v="2024-03-24T00:00:00"/>
    <x v="0"/>
    <x v="2"/>
    <x v="1"/>
    <x v="1"/>
    <x v="1"/>
    <x v="0"/>
    <x v="0"/>
    <n v="15"/>
    <n v="15"/>
  </r>
  <r>
    <n v="3259"/>
    <s v="Paula Ferreira"/>
    <x v="1"/>
    <d v="2024-03-25T00:00:00"/>
    <x v="1"/>
    <x v="1"/>
    <x v="0"/>
    <x v="1"/>
    <x v="1"/>
    <x v="1"/>
    <x v="1"/>
    <n v="1"/>
    <n v="4"/>
  </r>
  <r>
    <n v="3260"/>
    <s v="Raquel Alves"/>
    <x v="0"/>
    <d v="2024-03-26T00:00:00"/>
    <x v="0"/>
    <x v="0"/>
    <x v="2"/>
    <x v="0"/>
    <x v="0"/>
    <x v="0"/>
    <x v="0"/>
    <n v="7"/>
    <n v="58"/>
  </r>
  <r>
    <n v="3261"/>
    <s v="Samuel Pires"/>
    <x v="2"/>
    <d v="2024-03-27T00:00:00"/>
    <x v="1"/>
    <x v="2"/>
    <x v="0"/>
    <x v="1"/>
    <x v="1"/>
    <x v="0"/>
    <x v="0"/>
    <n v="10"/>
    <n v="20"/>
  </r>
  <r>
    <n v="3262"/>
    <s v="Tânia Barros"/>
    <x v="1"/>
    <d v="2024-03-28T00:00:00"/>
    <x v="0"/>
    <x v="1"/>
    <x v="1"/>
    <x v="1"/>
    <x v="1"/>
    <x v="1"/>
    <x v="1"/>
    <n v="0"/>
    <n v="5"/>
  </r>
  <r>
    <n v="3263"/>
    <s v="Vinicius Lima"/>
    <x v="0"/>
    <d v="2024-03-29T00:00:00"/>
    <x v="1"/>
    <x v="0"/>
    <x v="0"/>
    <x v="0"/>
    <x v="0"/>
    <x v="0"/>
    <x v="0"/>
    <n v="3"/>
    <n v="62"/>
  </r>
  <r>
    <n v="3264"/>
    <s v="Yasmin Teixeira"/>
    <x v="2"/>
    <d v="2024-03-30T00:00:00"/>
    <x v="0"/>
    <x v="2"/>
    <x v="2"/>
    <x v="1"/>
    <x v="1"/>
    <x v="0"/>
    <x v="0"/>
    <n v="15"/>
    <n v="15"/>
  </r>
  <r>
    <n v="3265"/>
    <s v="Zé Carlos"/>
    <x v="1"/>
    <d v="2024-03-31T00:00:00"/>
    <x v="1"/>
    <x v="1"/>
    <x v="0"/>
    <x v="1"/>
    <x v="1"/>
    <x v="1"/>
    <x v="1"/>
    <n v="1"/>
    <n v="4"/>
  </r>
  <r>
    <n v="3266"/>
    <s v="Amanda Nogueira"/>
    <x v="1"/>
    <d v="2024-04-01T00:00:00"/>
    <x v="0"/>
    <x v="1"/>
    <x v="0"/>
    <x v="1"/>
    <x v="1"/>
    <x v="1"/>
    <x v="1"/>
    <n v="0"/>
    <n v="5"/>
  </r>
  <r>
    <n v="3267"/>
    <s v="Bruno Cavalheiro"/>
    <x v="0"/>
    <d v="2024-04-02T00:00:00"/>
    <x v="1"/>
    <x v="0"/>
    <x v="2"/>
    <x v="0"/>
    <x v="0"/>
    <x v="0"/>
    <x v="0"/>
    <n v="7"/>
    <n v="58"/>
  </r>
  <r>
    <n v="3268"/>
    <s v="Carla Dias"/>
    <x v="2"/>
    <d v="2024-04-03T00:00:00"/>
    <x v="0"/>
    <x v="2"/>
    <x v="1"/>
    <x v="1"/>
    <x v="1"/>
    <x v="0"/>
    <x v="0"/>
    <n v="10"/>
    <n v="20"/>
  </r>
  <r>
    <n v="3269"/>
    <s v="Diego Fontes"/>
    <x v="1"/>
    <d v="2024-04-04T00:00:00"/>
    <x v="1"/>
    <x v="1"/>
    <x v="2"/>
    <x v="1"/>
    <x v="1"/>
    <x v="1"/>
    <x v="1"/>
    <n v="1"/>
    <n v="4"/>
  </r>
  <r>
    <n v="3270"/>
    <s v="Eunice Lima"/>
    <x v="0"/>
    <d v="2024-04-05T00:00:00"/>
    <x v="0"/>
    <x v="0"/>
    <x v="0"/>
    <x v="0"/>
    <x v="0"/>
    <x v="0"/>
    <x v="0"/>
    <n v="15"/>
    <n v="50"/>
  </r>
  <r>
    <n v="3271"/>
    <s v="Fábio Martins"/>
    <x v="2"/>
    <d v="2024-04-06T00:00:00"/>
    <x v="1"/>
    <x v="2"/>
    <x v="0"/>
    <x v="1"/>
    <x v="1"/>
    <x v="0"/>
    <x v="0"/>
    <n v="5"/>
    <n v="25"/>
  </r>
  <r>
    <n v="3272"/>
    <s v="Gisele Araújo"/>
    <x v="1"/>
    <d v="2024-04-07T00:00:00"/>
    <x v="0"/>
    <x v="1"/>
    <x v="1"/>
    <x v="1"/>
    <x v="1"/>
    <x v="1"/>
    <x v="1"/>
    <n v="0"/>
    <n v="5"/>
  </r>
  <r>
    <n v="3273"/>
    <s v="Hélio Castro"/>
    <x v="0"/>
    <d v="2024-04-08T00:00:00"/>
    <x v="1"/>
    <x v="0"/>
    <x v="2"/>
    <x v="0"/>
    <x v="0"/>
    <x v="0"/>
    <x v="0"/>
    <n v="20"/>
    <n v="45"/>
  </r>
  <r>
    <n v="3274"/>
    <s v="Ingrid Menezes"/>
    <x v="2"/>
    <d v="2024-04-09T00:00:00"/>
    <x v="0"/>
    <x v="2"/>
    <x v="2"/>
    <x v="1"/>
    <x v="1"/>
    <x v="0"/>
    <x v="0"/>
    <n v="12"/>
    <n v="18"/>
  </r>
  <r>
    <n v="3275"/>
    <s v="Jorge Baptista"/>
    <x v="1"/>
    <d v="2024-04-10T00:00:00"/>
    <x v="1"/>
    <x v="1"/>
    <x v="0"/>
    <x v="1"/>
    <x v="1"/>
    <x v="1"/>
    <x v="1"/>
    <n v="2"/>
    <n v="3"/>
  </r>
  <r>
    <n v="3276"/>
    <s v="Kléber Oliveira"/>
    <x v="0"/>
    <d v="2024-04-11T00:00:00"/>
    <x v="0"/>
    <x v="0"/>
    <x v="1"/>
    <x v="0"/>
    <x v="0"/>
    <x v="0"/>
    <x v="0"/>
    <n v="5"/>
    <n v="60"/>
  </r>
  <r>
    <n v="3277"/>
    <s v="Luciana Freitas"/>
    <x v="2"/>
    <d v="2024-04-12T00:00:00"/>
    <x v="1"/>
    <x v="2"/>
    <x v="0"/>
    <x v="1"/>
    <x v="1"/>
    <x v="0"/>
    <x v="0"/>
    <n v="10"/>
    <n v="20"/>
  </r>
  <r>
    <n v="3278"/>
    <s v="Márcia Eller"/>
    <x v="1"/>
    <d v="2024-04-13T00:00:00"/>
    <x v="0"/>
    <x v="1"/>
    <x v="2"/>
    <x v="1"/>
    <x v="1"/>
    <x v="1"/>
    <x v="1"/>
    <n v="0"/>
    <n v="5"/>
  </r>
  <r>
    <n v="3279"/>
    <s v="Nilo Peçanha"/>
    <x v="0"/>
    <d v="2024-04-14T00:00:00"/>
    <x v="1"/>
    <x v="0"/>
    <x v="0"/>
    <x v="0"/>
    <x v="0"/>
    <x v="0"/>
    <x v="0"/>
    <n v="3"/>
    <n v="62"/>
  </r>
  <r>
    <n v="3280"/>
    <s v="Oscar Neves"/>
    <x v="2"/>
    <d v="2024-04-15T00:00:00"/>
    <x v="0"/>
    <x v="2"/>
    <x v="1"/>
    <x v="1"/>
    <x v="1"/>
    <x v="0"/>
    <x v="0"/>
    <n v="15"/>
    <n v="15"/>
  </r>
  <r>
    <n v="3281"/>
    <s v="Patrícia Soares"/>
    <x v="1"/>
    <d v="2024-04-16T00:00:00"/>
    <x v="1"/>
    <x v="1"/>
    <x v="0"/>
    <x v="1"/>
    <x v="1"/>
    <x v="1"/>
    <x v="1"/>
    <n v="1"/>
    <n v="4"/>
  </r>
  <r>
    <n v="3282"/>
    <s v="Quirino Gonçalves"/>
    <x v="0"/>
    <d v="2024-04-17T00:00:00"/>
    <x v="0"/>
    <x v="0"/>
    <x v="2"/>
    <x v="0"/>
    <x v="0"/>
    <x v="0"/>
    <x v="0"/>
    <n v="7"/>
    <n v="58"/>
  </r>
  <r>
    <n v="3283"/>
    <s v="Raul Machado"/>
    <x v="2"/>
    <d v="2024-04-18T00:00:00"/>
    <x v="1"/>
    <x v="2"/>
    <x v="0"/>
    <x v="1"/>
    <x v="1"/>
    <x v="0"/>
    <x v="0"/>
    <n v="10"/>
    <n v="20"/>
  </r>
  <r>
    <n v="3284"/>
    <s v="Sônia Lobo"/>
    <x v="1"/>
    <d v="2024-04-19T00:00:00"/>
    <x v="0"/>
    <x v="1"/>
    <x v="1"/>
    <x v="1"/>
    <x v="1"/>
    <x v="1"/>
    <x v="1"/>
    <n v="0"/>
    <n v="5"/>
  </r>
  <r>
    <n v="3285"/>
    <s v="Tiago Ramos"/>
    <x v="0"/>
    <d v="2024-04-20T00:00:00"/>
    <x v="1"/>
    <x v="0"/>
    <x v="0"/>
    <x v="0"/>
    <x v="0"/>
    <x v="0"/>
    <x v="0"/>
    <n v="20"/>
    <n v="45"/>
  </r>
  <r>
    <n v="3286"/>
    <s v="Ugo Pires"/>
    <x v="2"/>
    <d v="2024-04-21T00:00:00"/>
    <x v="0"/>
    <x v="2"/>
    <x v="2"/>
    <x v="1"/>
    <x v="1"/>
    <x v="0"/>
    <x v="0"/>
    <n v="15"/>
    <n v="15"/>
  </r>
  <r>
    <n v="3287"/>
    <s v="Valéria Nobre"/>
    <x v="1"/>
    <d v="2024-04-22T00:00:00"/>
    <x v="1"/>
    <x v="1"/>
    <x v="0"/>
    <x v="1"/>
    <x v="1"/>
    <x v="1"/>
    <x v="1"/>
    <n v="1"/>
    <n v="4"/>
  </r>
  <r>
    <n v="3288"/>
    <s v="William Siqueira"/>
    <x v="0"/>
    <d v="2024-04-23T00:00:00"/>
    <x v="0"/>
    <x v="0"/>
    <x v="1"/>
    <x v="0"/>
    <x v="0"/>
    <x v="0"/>
    <x v="0"/>
    <n v="3"/>
    <n v="62"/>
  </r>
  <r>
    <n v="3289"/>
    <s v="Xuxa Meneghel"/>
    <x v="2"/>
    <d v="2024-04-24T00:00:00"/>
    <x v="1"/>
    <x v="2"/>
    <x v="0"/>
    <x v="1"/>
    <x v="1"/>
    <x v="0"/>
    <x v="0"/>
    <n v="10"/>
    <n v="20"/>
  </r>
  <r>
    <n v="3290"/>
    <s v="Yara Figueiredo"/>
    <x v="1"/>
    <d v="2024-04-25T00:00:00"/>
    <x v="0"/>
    <x v="1"/>
    <x v="2"/>
    <x v="1"/>
    <x v="1"/>
    <x v="1"/>
    <x v="1"/>
    <n v="0"/>
    <n v="5"/>
  </r>
  <r>
    <n v="3291"/>
    <s v="Zacarias Alves"/>
    <x v="0"/>
    <d v="2024-04-26T00:00:00"/>
    <x v="1"/>
    <x v="0"/>
    <x v="0"/>
    <x v="0"/>
    <x v="0"/>
    <x v="0"/>
    <x v="0"/>
    <n v="5"/>
    <n v="60"/>
  </r>
  <r>
    <n v="3292"/>
    <s v="Amanda Bynes"/>
    <x v="2"/>
    <d v="2024-04-27T00:00:00"/>
    <x v="0"/>
    <x v="2"/>
    <x v="1"/>
    <x v="1"/>
    <x v="1"/>
    <x v="0"/>
    <x v="0"/>
    <n v="15"/>
    <n v="15"/>
  </r>
  <r>
    <n v="3293"/>
    <s v="Bruno Mars"/>
    <x v="1"/>
    <d v="2024-04-28T00:00:00"/>
    <x v="1"/>
    <x v="1"/>
    <x v="0"/>
    <x v="1"/>
    <x v="1"/>
    <x v="1"/>
    <x v="1"/>
    <n v="1"/>
    <n v="4"/>
  </r>
  <r>
    <n v="3294"/>
    <s v="Carla Bruni"/>
    <x v="0"/>
    <d v="2024-04-29T00:00:00"/>
    <x v="0"/>
    <x v="0"/>
    <x v="2"/>
    <x v="0"/>
    <x v="0"/>
    <x v="0"/>
    <x v="0"/>
    <n v="20"/>
    <n v="45"/>
  </r>
  <r>
    <n v="3295"/>
    <s v="Diego Maradona"/>
    <x v="2"/>
    <d v="2024-04-30T00:00:00"/>
    <x v="1"/>
    <x v="2"/>
    <x v="0"/>
    <x v="1"/>
    <x v="1"/>
    <x v="0"/>
    <x v="0"/>
    <n v="5"/>
    <n v="25"/>
  </r>
  <r>
    <n v="3296"/>
    <s v="Estela Marques"/>
    <x v="1"/>
    <d v="2024-05-01T00:00:00"/>
    <x v="1"/>
    <x v="1"/>
    <x v="0"/>
    <x v="1"/>
    <x v="1"/>
    <x v="1"/>
    <x v="1"/>
    <n v="0"/>
    <n v="5"/>
  </r>
  <r>
    <n v="3297"/>
    <s v="Fábio Nobre"/>
    <x v="0"/>
    <d v="2024-05-02T00:00:00"/>
    <x v="0"/>
    <x v="0"/>
    <x v="2"/>
    <x v="0"/>
    <x v="0"/>
    <x v="0"/>
    <x v="0"/>
    <n v="7"/>
    <n v="58"/>
  </r>
  <r>
    <n v="3298"/>
    <s v="Gabriel Oliveira"/>
    <x v="2"/>
    <d v="2024-05-03T00:00:00"/>
    <x v="1"/>
    <x v="2"/>
    <x v="1"/>
    <x v="1"/>
    <x v="1"/>
    <x v="0"/>
    <x v="0"/>
    <n v="10"/>
    <n v="20"/>
  </r>
  <r>
    <n v="3299"/>
    <s v="Helena Santos"/>
    <x v="1"/>
    <d v="2024-05-04T00:00:00"/>
    <x v="0"/>
    <x v="1"/>
    <x v="2"/>
    <x v="1"/>
    <x v="1"/>
    <x v="1"/>
    <x v="1"/>
    <n v="1"/>
    <n v="4"/>
  </r>
  <r>
    <n v="3300"/>
    <s v="Ivan Carvalho"/>
    <x v="0"/>
    <d v="2024-05-05T00:00:00"/>
    <x v="1"/>
    <x v="0"/>
    <x v="0"/>
    <x v="0"/>
    <x v="0"/>
    <x v="0"/>
    <x v="0"/>
    <n v="15"/>
    <n v="50"/>
  </r>
  <r>
    <n v="3301"/>
    <s v="Júlia Ferreira"/>
    <x v="2"/>
    <d v="2024-05-06T00:00:00"/>
    <x v="0"/>
    <x v="2"/>
    <x v="0"/>
    <x v="1"/>
    <x v="1"/>
    <x v="0"/>
    <x v="0"/>
    <n v="5"/>
    <n v="25"/>
  </r>
  <r>
    <n v="3302"/>
    <s v="Karla Alves"/>
    <x v="1"/>
    <d v="2024-05-07T00:00:00"/>
    <x v="1"/>
    <x v="1"/>
    <x v="1"/>
    <x v="1"/>
    <x v="1"/>
    <x v="1"/>
    <x v="1"/>
    <n v="0"/>
    <n v="5"/>
  </r>
  <r>
    <n v="3303"/>
    <s v="Lucas Mendes"/>
    <x v="0"/>
    <d v="2024-05-08T00:00:00"/>
    <x v="0"/>
    <x v="0"/>
    <x v="2"/>
    <x v="0"/>
    <x v="0"/>
    <x v="0"/>
    <x v="0"/>
    <n v="20"/>
    <n v="45"/>
  </r>
  <r>
    <n v="3304"/>
    <s v="Mônica Gomes"/>
    <x v="2"/>
    <d v="2024-05-09T00:00:00"/>
    <x v="1"/>
    <x v="2"/>
    <x v="2"/>
    <x v="1"/>
    <x v="1"/>
    <x v="0"/>
    <x v="0"/>
    <n v="12"/>
    <n v="18"/>
  </r>
  <r>
    <n v="3305"/>
    <s v="Norberto Queiroz"/>
    <x v="1"/>
    <d v="2024-05-10T00:00:00"/>
    <x v="0"/>
    <x v="1"/>
    <x v="0"/>
    <x v="1"/>
    <x v="1"/>
    <x v="1"/>
    <x v="1"/>
    <n v="2"/>
    <n v="3"/>
  </r>
  <r>
    <n v="3306"/>
    <s v="Otávio Barros"/>
    <x v="0"/>
    <d v="2024-05-11T00:00:00"/>
    <x v="1"/>
    <x v="0"/>
    <x v="1"/>
    <x v="0"/>
    <x v="0"/>
    <x v="0"/>
    <x v="0"/>
    <n v="5"/>
    <n v="60"/>
  </r>
  <r>
    <n v="3307"/>
    <s v="Paula Vieira"/>
    <x v="2"/>
    <d v="2024-05-12T00:00:00"/>
    <x v="0"/>
    <x v="2"/>
    <x v="0"/>
    <x v="1"/>
    <x v="1"/>
    <x v="0"/>
    <x v="0"/>
    <n v="10"/>
    <n v="20"/>
  </r>
  <r>
    <n v="3308"/>
    <s v="Quentin Ramos"/>
    <x v="1"/>
    <d v="2024-05-13T00:00:00"/>
    <x v="1"/>
    <x v="1"/>
    <x v="2"/>
    <x v="1"/>
    <x v="1"/>
    <x v="1"/>
    <x v="1"/>
    <n v="0"/>
    <n v="5"/>
  </r>
  <r>
    <n v="3309"/>
    <s v="Raquel Novaes"/>
    <x v="0"/>
    <d v="2024-05-14T00:00:00"/>
    <x v="0"/>
    <x v="0"/>
    <x v="0"/>
    <x v="0"/>
    <x v="0"/>
    <x v="0"/>
    <x v="0"/>
    <n v="3"/>
    <n v="62"/>
  </r>
  <r>
    <n v="3310"/>
    <s v="Samantha Lopes"/>
    <x v="2"/>
    <d v="2024-05-15T00:00:00"/>
    <x v="1"/>
    <x v="2"/>
    <x v="1"/>
    <x v="1"/>
    <x v="1"/>
    <x v="0"/>
    <x v="0"/>
    <n v="15"/>
    <n v="15"/>
  </r>
  <r>
    <n v="3311"/>
    <s v="Tiago Martins"/>
    <x v="1"/>
    <d v="2024-05-16T00:00:00"/>
    <x v="0"/>
    <x v="1"/>
    <x v="0"/>
    <x v="1"/>
    <x v="1"/>
    <x v="1"/>
    <x v="1"/>
    <n v="1"/>
    <n v="4"/>
  </r>
  <r>
    <n v="3312"/>
    <s v="Ulysses Guimarães"/>
    <x v="0"/>
    <d v="2024-05-17T00:00:00"/>
    <x v="1"/>
    <x v="0"/>
    <x v="2"/>
    <x v="0"/>
    <x v="0"/>
    <x v="0"/>
    <x v="0"/>
    <n v="7"/>
    <n v="58"/>
  </r>
  <r>
    <n v="3313"/>
    <s v="Vanessa Silva"/>
    <x v="2"/>
    <d v="2024-05-18T00:00:00"/>
    <x v="0"/>
    <x v="2"/>
    <x v="0"/>
    <x v="1"/>
    <x v="1"/>
    <x v="0"/>
    <x v="0"/>
    <n v="10"/>
    <n v="20"/>
  </r>
  <r>
    <n v="3314"/>
    <s v="William Carneiro"/>
    <x v="1"/>
    <d v="2024-05-19T00:00:00"/>
    <x v="1"/>
    <x v="1"/>
    <x v="1"/>
    <x v="1"/>
    <x v="1"/>
    <x v="1"/>
    <x v="1"/>
    <n v="0"/>
    <n v="5"/>
  </r>
  <r>
    <n v="3315"/>
    <s v="Ximena Rocha"/>
    <x v="0"/>
    <d v="2024-05-20T00:00:00"/>
    <x v="0"/>
    <x v="0"/>
    <x v="0"/>
    <x v="0"/>
    <x v="0"/>
    <x v="0"/>
    <x v="0"/>
    <n v="20"/>
    <n v="45"/>
  </r>
  <r>
    <n v="3316"/>
    <s v="Yasmin Figueiredo"/>
    <x v="2"/>
    <d v="2024-05-21T00:00:00"/>
    <x v="1"/>
    <x v="2"/>
    <x v="2"/>
    <x v="1"/>
    <x v="1"/>
    <x v="0"/>
    <x v="0"/>
    <n v="15"/>
    <n v="15"/>
  </r>
  <r>
    <n v="3317"/>
    <s v="Zara Cunha"/>
    <x v="1"/>
    <d v="2024-05-22T00:00:00"/>
    <x v="0"/>
    <x v="1"/>
    <x v="0"/>
    <x v="1"/>
    <x v="1"/>
    <x v="1"/>
    <x v="1"/>
    <n v="1"/>
    <n v="4"/>
  </r>
  <r>
    <n v="3318"/>
    <s v="Alan Teixeira"/>
    <x v="0"/>
    <d v="2024-05-23T00:00:00"/>
    <x v="1"/>
    <x v="0"/>
    <x v="1"/>
    <x v="0"/>
    <x v="0"/>
    <x v="0"/>
    <x v="0"/>
    <n v="3"/>
    <n v="62"/>
  </r>
  <r>
    <n v="3319"/>
    <s v="Bárbara Oliveira"/>
    <x v="2"/>
    <d v="2024-05-24T00:00:00"/>
    <x v="0"/>
    <x v="2"/>
    <x v="0"/>
    <x v="1"/>
    <x v="1"/>
    <x v="0"/>
    <x v="0"/>
    <n v="10"/>
    <n v="20"/>
  </r>
  <r>
    <n v="3320"/>
    <s v="Carlos Junqueira"/>
    <x v="1"/>
    <d v="2024-05-25T00:00:00"/>
    <x v="1"/>
    <x v="1"/>
    <x v="2"/>
    <x v="1"/>
    <x v="1"/>
    <x v="1"/>
    <x v="1"/>
    <n v="0"/>
    <n v="5"/>
  </r>
  <r>
    <n v="3321"/>
    <s v="Daniela Moura"/>
    <x v="0"/>
    <d v="2024-05-26T00:00:00"/>
    <x v="0"/>
    <x v="0"/>
    <x v="0"/>
    <x v="0"/>
    <x v="0"/>
    <x v="0"/>
    <x v="0"/>
    <n v="5"/>
    <n v="60"/>
  </r>
  <r>
    <n v="3322"/>
    <s v="Eduardo Lima"/>
    <x v="2"/>
    <d v="2024-05-27T00:00:00"/>
    <x v="1"/>
    <x v="2"/>
    <x v="1"/>
    <x v="1"/>
    <x v="1"/>
    <x v="0"/>
    <x v="0"/>
    <n v="15"/>
    <n v="15"/>
  </r>
  <r>
    <n v="3323"/>
    <s v="Fabiana Araújo"/>
    <x v="1"/>
    <d v="2024-05-28T00:00:00"/>
    <x v="0"/>
    <x v="1"/>
    <x v="0"/>
    <x v="1"/>
    <x v="1"/>
    <x v="1"/>
    <x v="1"/>
    <n v="1"/>
    <n v="4"/>
  </r>
  <r>
    <n v="3324"/>
    <s v="Geraldo Ribeiro"/>
    <x v="0"/>
    <d v="2024-05-29T00:00:00"/>
    <x v="1"/>
    <x v="0"/>
    <x v="2"/>
    <x v="0"/>
    <x v="0"/>
    <x v="0"/>
    <x v="0"/>
    <n v="20"/>
    <n v="45"/>
  </r>
  <r>
    <n v="3325"/>
    <s v="Héctor Vargas"/>
    <x v="2"/>
    <d v="2024-05-30T00:00:00"/>
    <x v="0"/>
    <x v="2"/>
    <x v="2"/>
    <x v="1"/>
    <x v="1"/>
    <x v="0"/>
    <x v="0"/>
    <n v="15"/>
    <n v="15"/>
  </r>
  <r>
    <n v="3326"/>
    <s v="Isabela Fonseca"/>
    <x v="1"/>
    <d v="2024-05-31T00:00:00"/>
    <x v="1"/>
    <x v="1"/>
    <x v="1"/>
    <x v="1"/>
    <x v="1"/>
    <x v="1"/>
    <x v="1"/>
    <n v="0"/>
    <n v="5"/>
  </r>
  <r>
    <n v="3327"/>
    <s v="João Pedro Almeida"/>
    <x v="0"/>
    <d v="2024-06-01T00:00:00"/>
    <x v="0"/>
    <x v="0"/>
    <x v="0"/>
    <x v="0"/>
    <x v="0"/>
    <x v="0"/>
    <x v="0"/>
    <n v="7"/>
    <n v="58"/>
  </r>
  <r>
    <n v="3328"/>
    <s v="Klara Costa"/>
    <x v="2"/>
    <d v="2024-06-02T00:00:00"/>
    <x v="1"/>
    <x v="2"/>
    <x v="1"/>
    <x v="1"/>
    <x v="1"/>
    <x v="0"/>
    <x v="0"/>
    <n v="10"/>
    <n v="20"/>
  </r>
  <r>
    <n v="3329"/>
    <s v="Luciana Mendes"/>
    <x v="1"/>
    <d v="2024-06-03T00:00:00"/>
    <x v="0"/>
    <x v="1"/>
    <x v="2"/>
    <x v="1"/>
    <x v="1"/>
    <x v="1"/>
    <x v="1"/>
    <n v="1"/>
    <n v="4"/>
  </r>
  <r>
    <n v="3330"/>
    <s v="Marcelo Gouveia"/>
    <x v="0"/>
    <d v="2024-06-04T00:00:00"/>
    <x v="1"/>
    <x v="0"/>
    <x v="0"/>
    <x v="0"/>
    <x v="0"/>
    <x v="0"/>
    <x v="0"/>
    <n v="15"/>
    <n v="50"/>
  </r>
  <r>
    <n v="3331"/>
    <s v="Nívea Borges"/>
    <x v="2"/>
    <d v="2024-06-05T00:00:00"/>
    <x v="0"/>
    <x v="2"/>
    <x v="0"/>
    <x v="1"/>
    <x v="1"/>
    <x v="0"/>
    <x v="0"/>
    <n v="5"/>
    <n v="25"/>
  </r>
  <r>
    <n v="3332"/>
    <s v="Oscar Nogueira"/>
    <x v="1"/>
    <d v="2024-06-06T00:00:00"/>
    <x v="1"/>
    <x v="1"/>
    <x v="1"/>
    <x v="1"/>
    <x v="1"/>
    <x v="1"/>
    <x v="1"/>
    <n v="0"/>
    <n v="5"/>
  </r>
  <r>
    <n v="3333"/>
    <s v="Patrícia Alves"/>
    <x v="0"/>
    <d v="2024-06-07T00:00:00"/>
    <x v="0"/>
    <x v="0"/>
    <x v="2"/>
    <x v="0"/>
    <x v="0"/>
    <x v="0"/>
    <x v="0"/>
    <n v="20"/>
    <n v="45"/>
  </r>
  <r>
    <n v="3334"/>
    <s v="Rafaela Silva"/>
    <x v="2"/>
    <d v="2024-06-08T00:00:00"/>
    <x v="1"/>
    <x v="2"/>
    <x v="2"/>
    <x v="1"/>
    <x v="1"/>
    <x v="0"/>
    <x v="0"/>
    <n v="12"/>
    <n v="18"/>
  </r>
  <r>
    <n v="3335"/>
    <s v="Samantha Moraes"/>
    <x v="1"/>
    <d v="2024-06-09T00:00:00"/>
    <x v="0"/>
    <x v="1"/>
    <x v="0"/>
    <x v="1"/>
    <x v="1"/>
    <x v="1"/>
    <x v="1"/>
    <n v="2"/>
    <n v="3"/>
  </r>
  <r>
    <n v="3336"/>
    <s v="Tatiana Rocha"/>
    <x v="1"/>
    <d v="2024-06-10T00:00:00"/>
    <x v="0"/>
    <x v="1"/>
    <x v="0"/>
    <x v="1"/>
    <x v="1"/>
    <x v="1"/>
    <x v="1"/>
    <n v="0"/>
    <n v="5"/>
  </r>
  <r>
    <n v="3337"/>
    <s v="Ulisses Tavares"/>
    <x v="0"/>
    <d v="2024-06-11T00:00:00"/>
    <x v="1"/>
    <x v="0"/>
    <x v="2"/>
    <x v="0"/>
    <x v="0"/>
    <x v="0"/>
    <x v="0"/>
    <n v="7"/>
    <n v="58"/>
  </r>
  <r>
    <n v="3338"/>
    <s v="Víctor Lemos"/>
    <x v="2"/>
    <d v="2024-06-12T00:00:00"/>
    <x v="0"/>
    <x v="2"/>
    <x v="1"/>
    <x v="1"/>
    <x v="1"/>
    <x v="0"/>
    <x v="0"/>
    <n v="10"/>
    <n v="20"/>
  </r>
  <r>
    <n v="3339"/>
    <s v="Wilma Barros"/>
    <x v="1"/>
    <d v="2024-06-13T00:00:00"/>
    <x v="1"/>
    <x v="1"/>
    <x v="2"/>
    <x v="1"/>
    <x v="1"/>
    <x v="1"/>
    <x v="1"/>
    <n v="1"/>
    <n v="4"/>
  </r>
  <r>
    <n v="3340"/>
    <s v="Xavier Nascimento"/>
    <x v="0"/>
    <d v="2024-06-14T00:00:00"/>
    <x v="0"/>
    <x v="0"/>
    <x v="0"/>
    <x v="0"/>
    <x v="0"/>
    <x v="0"/>
    <x v="0"/>
    <n v="15"/>
    <n v="50"/>
  </r>
  <r>
    <n v="3341"/>
    <s v="Yago Pereira"/>
    <x v="2"/>
    <d v="2024-06-15T00:00:00"/>
    <x v="1"/>
    <x v="2"/>
    <x v="0"/>
    <x v="1"/>
    <x v="1"/>
    <x v="0"/>
    <x v="0"/>
    <n v="5"/>
    <n v="25"/>
  </r>
  <r>
    <n v="3342"/>
    <s v="Zilda Ferreira"/>
    <x v="1"/>
    <d v="2024-06-16T00:00:00"/>
    <x v="0"/>
    <x v="1"/>
    <x v="1"/>
    <x v="1"/>
    <x v="1"/>
    <x v="1"/>
    <x v="1"/>
    <n v="0"/>
    <n v="5"/>
  </r>
  <r>
    <n v="3343"/>
    <s v="Amanda Lopes"/>
    <x v="0"/>
    <d v="2024-06-17T00:00:00"/>
    <x v="1"/>
    <x v="0"/>
    <x v="2"/>
    <x v="0"/>
    <x v="0"/>
    <x v="0"/>
    <x v="0"/>
    <n v="20"/>
    <n v="45"/>
  </r>
  <r>
    <n v="3344"/>
    <s v="Bruno Miranda"/>
    <x v="2"/>
    <d v="2024-06-18T00:00:00"/>
    <x v="0"/>
    <x v="2"/>
    <x v="2"/>
    <x v="1"/>
    <x v="1"/>
    <x v="0"/>
    <x v="0"/>
    <n v="12"/>
    <n v="18"/>
  </r>
  <r>
    <n v="3345"/>
    <s v="Célia Torres"/>
    <x v="1"/>
    <d v="2024-06-19T00:00:00"/>
    <x v="1"/>
    <x v="1"/>
    <x v="0"/>
    <x v="1"/>
    <x v="1"/>
    <x v="1"/>
    <x v="1"/>
    <n v="2"/>
    <n v="3"/>
  </r>
  <r>
    <n v="3346"/>
    <s v="Diogo Souza"/>
    <x v="0"/>
    <d v="2024-06-20T00:00:00"/>
    <x v="0"/>
    <x v="0"/>
    <x v="1"/>
    <x v="0"/>
    <x v="0"/>
    <x v="0"/>
    <x v="0"/>
    <n v="5"/>
    <n v="60"/>
  </r>
  <r>
    <n v="3347"/>
    <s v="Elisa Castro"/>
    <x v="2"/>
    <d v="2024-06-21T00:00:00"/>
    <x v="1"/>
    <x v="2"/>
    <x v="0"/>
    <x v="1"/>
    <x v="1"/>
    <x v="0"/>
    <x v="0"/>
    <n v="10"/>
    <n v="20"/>
  </r>
  <r>
    <n v="3348"/>
    <s v="Fátima Lima"/>
    <x v="1"/>
    <d v="2024-06-22T00:00:00"/>
    <x v="0"/>
    <x v="1"/>
    <x v="2"/>
    <x v="1"/>
    <x v="1"/>
    <x v="1"/>
    <x v="1"/>
    <n v="0"/>
    <n v="5"/>
  </r>
  <r>
    <n v="3349"/>
    <s v="Geraldo Ribeiro"/>
    <x v="0"/>
    <d v="2024-06-23T00:00:00"/>
    <x v="1"/>
    <x v="0"/>
    <x v="0"/>
    <x v="0"/>
    <x v="0"/>
    <x v="0"/>
    <x v="0"/>
    <n v="3"/>
    <n v="62"/>
  </r>
  <r>
    <n v="3350"/>
    <s v="Hélio Martins"/>
    <x v="2"/>
    <d v="2024-06-24T00:00:00"/>
    <x v="0"/>
    <x v="2"/>
    <x v="1"/>
    <x v="1"/>
    <x v="1"/>
    <x v="0"/>
    <x v="0"/>
    <n v="15"/>
    <n v="15"/>
  </r>
  <r>
    <n v="3351"/>
    <s v="Íris Santos"/>
    <x v="1"/>
    <d v="2024-06-25T00:00:00"/>
    <x v="1"/>
    <x v="1"/>
    <x v="0"/>
    <x v="1"/>
    <x v="1"/>
    <x v="1"/>
    <x v="1"/>
    <n v="1"/>
    <n v="4"/>
  </r>
  <r>
    <n v="3352"/>
    <s v="João Marcelo"/>
    <x v="0"/>
    <d v="2024-06-26T00:00:00"/>
    <x v="0"/>
    <x v="0"/>
    <x v="2"/>
    <x v="0"/>
    <x v="0"/>
    <x v="0"/>
    <x v="0"/>
    <n v="7"/>
    <n v="58"/>
  </r>
  <r>
    <n v="3353"/>
    <s v="Larissa Gomes"/>
    <x v="2"/>
    <d v="2024-06-27T00:00:00"/>
    <x v="1"/>
    <x v="2"/>
    <x v="0"/>
    <x v="1"/>
    <x v="1"/>
    <x v="0"/>
    <x v="0"/>
    <n v="10"/>
    <n v="20"/>
  </r>
  <r>
    <n v="3354"/>
    <s v="Márcio Silva"/>
    <x v="1"/>
    <d v="2024-06-28T00:00:00"/>
    <x v="0"/>
    <x v="1"/>
    <x v="1"/>
    <x v="1"/>
    <x v="1"/>
    <x v="1"/>
    <x v="1"/>
    <n v="0"/>
    <n v="5"/>
  </r>
  <r>
    <n v="3355"/>
    <s v="Nadia Costa"/>
    <x v="0"/>
    <d v="2024-06-29T00:00:00"/>
    <x v="1"/>
    <x v="0"/>
    <x v="0"/>
    <x v="0"/>
    <x v="0"/>
    <x v="0"/>
    <x v="0"/>
    <n v="20"/>
    <n v="45"/>
  </r>
  <r>
    <n v="3356"/>
    <s v="Oscar Almeida"/>
    <x v="2"/>
    <d v="2024-06-30T00:00:00"/>
    <x v="0"/>
    <x v="2"/>
    <x v="2"/>
    <x v="1"/>
    <x v="1"/>
    <x v="0"/>
    <x v="0"/>
    <n v="15"/>
    <n v="15"/>
  </r>
  <r>
    <n v="3357"/>
    <s v="Patricia Soares"/>
    <x v="1"/>
    <d v="2024-07-01T00:00:00"/>
    <x v="1"/>
    <x v="1"/>
    <x v="0"/>
    <x v="1"/>
    <x v="1"/>
    <x v="1"/>
    <x v="1"/>
    <n v="1"/>
    <n v="4"/>
  </r>
  <r>
    <n v="3358"/>
    <s v="Quênia Barros"/>
    <x v="0"/>
    <d v="2024-07-02T00:00:00"/>
    <x v="0"/>
    <x v="0"/>
    <x v="1"/>
    <x v="0"/>
    <x v="0"/>
    <x v="0"/>
    <x v="0"/>
    <n v="3"/>
    <n v="62"/>
  </r>
  <r>
    <n v="3359"/>
    <s v="Rafael Torres"/>
    <x v="2"/>
    <d v="2024-07-03T00:00:00"/>
    <x v="1"/>
    <x v="2"/>
    <x v="0"/>
    <x v="1"/>
    <x v="1"/>
    <x v="0"/>
    <x v="0"/>
    <n v="10"/>
    <n v="20"/>
  </r>
  <r>
    <n v="3360"/>
    <s v="Silvia Nascimento"/>
    <x v="1"/>
    <d v="2024-07-04T00:00:00"/>
    <x v="0"/>
    <x v="1"/>
    <x v="2"/>
    <x v="1"/>
    <x v="1"/>
    <x v="1"/>
    <x v="1"/>
    <n v="0"/>
    <n v="5"/>
  </r>
  <r>
    <n v="3361"/>
    <s v="Tiago Mendes"/>
    <x v="0"/>
    <d v="2024-07-05T00:00:00"/>
    <x v="1"/>
    <x v="0"/>
    <x v="0"/>
    <x v="0"/>
    <x v="0"/>
    <x v="0"/>
    <x v="0"/>
    <n v="15"/>
    <n v="50"/>
  </r>
  <r>
    <n v="3362"/>
    <s v="Ursula Silva"/>
    <x v="2"/>
    <d v="2024-07-06T00:00:00"/>
    <x v="0"/>
    <x v="2"/>
    <x v="1"/>
    <x v="1"/>
    <x v="1"/>
    <x v="0"/>
    <x v="0"/>
    <n v="15"/>
    <n v="15"/>
  </r>
  <r>
    <n v="3363"/>
    <s v="Vanessa Moraes"/>
    <x v="1"/>
    <d v="2024-07-07T00:00:00"/>
    <x v="1"/>
    <x v="1"/>
    <x v="0"/>
    <x v="1"/>
    <x v="1"/>
    <x v="1"/>
    <x v="1"/>
    <n v="1"/>
    <n v="4"/>
  </r>
  <r>
    <n v="3364"/>
    <s v="Waldir Junior"/>
    <x v="0"/>
    <d v="2024-07-08T00:00:00"/>
    <x v="0"/>
    <x v="0"/>
    <x v="2"/>
    <x v="0"/>
    <x v="0"/>
    <x v="0"/>
    <x v="0"/>
    <n v="7"/>
    <n v="58"/>
  </r>
  <r>
    <n v="3365"/>
    <s v="Xavier Lopes"/>
    <x v="2"/>
    <d v="2024-07-09T00:00:00"/>
    <x v="1"/>
    <x v="2"/>
    <x v="0"/>
    <x v="1"/>
    <x v="1"/>
    <x v="0"/>
    <x v="0"/>
    <n v="10"/>
    <n v="20"/>
  </r>
  <r>
    <n v="3366"/>
    <s v="Yolanda Freitas"/>
    <x v="1"/>
    <d v="2024-07-10T00:00:00"/>
    <x v="0"/>
    <x v="1"/>
    <x v="0"/>
    <x v="1"/>
    <x v="1"/>
    <x v="1"/>
    <x v="1"/>
    <n v="0"/>
    <n v="5"/>
  </r>
  <r>
    <n v="3367"/>
    <s v="Zacarias Nunes"/>
    <x v="0"/>
    <d v="2024-07-11T00:00:00"/>
    <x v="1"/>
    <x v="0"/>
    <x v="2"/>
    <x v="0"/>
    <x v="0"/>
    <x v="0"/>
    <x v="0"/>
    <n v="7"/>
    <n v="58"/>
  </r>
  <r>
    <n v="3368"/>
    <s v="Ana Clara Barreto"/>
    <x v="2"/>
    <d v="2024-07-12T00:00:00"/>
    <x v="0"/>
    <x v="2"/>
    <x v="1"/>
    <x v="1"/>
    <x v="1"/>
    <x v="0"/>
    <x v="0"/>
    <n v="10"/>
    <n v="20"/>
  </r>
  <r>
    <n v="3369"/>
    <s v="Bruno Henrique"/>
    <x v="1"/>
    <d v="2024-07-13T00:00:00"/>
    <x v="1"/>
    <x v="1"/>
    <x v="2"/>
    <x v="1"/>
    <x v="1"/>
    <x v="1"/>
    <x v="1"/>
    <n v="1"/>
    <n v="4"/>
  </r>
  <r>
    <n v="3370"/>
    <s v="Carlos Eduardo"/>
    <x v="0"/>
    <d v="2024-07-14T00:00:00"/>
    <x v="0"/>
    <x v="0"/>
    <x v="0"/>
    <x v="0"/>
    <x v="0"/>
    <x v="0"/>
    <x v="0"/>
    <n v="15"/>
    <n v="50"/>
  </r>
  <r>
    <n v="3371"/>
    <s v="Débora Lima"/>
    <x v="2"/>
    <d v="2024-07-15T00:00:00"/>
    <x v="1"/>
    <x v="2"/>
    <x v="0"/>
    <x v="1"/>
    <x v="1"/>
    <x v="0"/>
    <x v="0"/>
    <n v="5"/>
    <n v="25"/>
  </r>
  <r>
    <n v="3372"/>
    <s v="Elisa Neves"/>
    <x v="1"/>
    <d v="2024-07-16T00:00:00"/>
    <x v="0"/>
    <x v="1"/>
    <x v="1"/>
    <x v="1"/>
    <x v="1"/>
    <x v="1"/>
    <x v="1"/>
    <n v="0"/>
    <n v="5"/>
  </r>
  <r>
    <n v="3373"/>
    <s v="Fabiano Gomes"/>
    <x v="0"/>
    <d v="2024-07-17T00:00:00"/>
    <x v="1"/>
    <x v="0"/>
    <x v="2"/>
    <x v="0"/>
    <x v="0"/>
    <x v="0"/>
    <x v="0"/>
    <n v="20"/>
    <n v="45"/>
  </r>
  <r>
    <n v="3374"/>
    <s v="Gisele Oliveira"/>
    <x v="2"/>
    <d v="2024-07-18T00:00:00"/>
    <x v="0"/>
    <x v="2"/>
    <x v="2"/>
    <x v="1"/>
    <x v="1"/>
    <x v="0"/>
    <x v="0"/>
    <n v="12"/>
    <n v="18"/>
  </r>
  <r>
    <n v="3375"/>
    <s v="Héctor Silva"/>
    <x v="1"/>
    <d v="2024-07-19T00:00:00"/>
    <x v="1"/>
    <x v="1"/>
    <x v="0"/>
    <x v="1"/>
    <x v="1"/>
    <x v="1"/>
    <x v="1"/>
    <n v="2"/>
    <n v="3"/>
  </r>
  <r>
    <n v="3376"/>
    <s v="Igor Martins"/>
    <x v="0"/>
    <d v="2024-07-20T00:00:00"/>
    <x v="0"/>
    <x v="0"/>
    <x v="1"/>
    <x v="0"/>
    <x v="0"/>
    <x v="0"/>
    <x v="0"/>
    <n v="5"/>
    <n v="60"/>
  </r>
  <r>
    <n v="3377"/>
    <s v="Joana Figueiredo"/>
    <x v="2"/>
    <d v="2024-07-21T00:00:00"/>
    <x v="1"/>
    <x v="2"/>
    <x v="0"/>
    <x v="1"/>
    <x v="1"/>
    <x v="0"/>
    <x v="0"/>
    <n v="10"/>
    <n v="20"/>
  </r>
  <r>
    <n v="3378"/>
    <s v="Kleber Machado"/>
    <x v="1"/>
    <d v="2024-07-22T00:00:00"/>
    <x v="0"/>
    <x v="1"/>
    <x v="2"/>
    <x v="1"/>
    <x v="1"/>
    <x v="1"/>
    <x v="1"/>
    <n v="0"/>
    <n v="5"/>
  </r>
  <r>
    <n v="3379"/>
    <s v="Luciana Santos"/>
    <x v="0"/>
    <d v="2024-07-23T00:00:00"/>
    <x v="1"/>
    <x v="0"/>
    <x v="0"/>
    <x v="0"/>
    <x v="0"/>
    <x v="0"/>
    <x v="0"/>
    <n v="3"/>
    <n v="62"/>
  </r>
  <r>
    <n v="3380"/>
    <s v="Marcos Teixeira"/>
    <x v="2"/>
    <d v="2024-07-24T00:00:00"/>
    <x v="0"/>
    <x v="2"/>
    <x v="1"/>
    <x v="1"/>
    <x v="1"/>
    <x v="0"/>
    <x v="0"/>
    <n v="15"/>
    <n v="15"/>
  </r>
  <r>
    <n v="3381"/>
    <s v="Natalia Costa"/>
    <x v="1"/>
    <d v="2024-07-25T00:00:00"/>
    <x v="1"/>
    <x v="1"/>
    <x v="0"/>
    <x v="1"/>
    <x v="1"/>
    <x v="1"/>
    <x v="1"/>
    <n v="1"/>
    <n v="4"/>
  </r>
  <r>
    <n v="3382"/>
    <s v="Oscar Ribeiro"/>
    <x v="0"/>
    <d v="2024-07-26T00:00:00"/>
    <x v="0"/>
    <x v="0"/>
    <x v="2"/>
    <x v="0"/>
    <x v="0"/>
    <x v="0"/>
    <x v="0"/>
    <n v="7"/>
    <n v="58"/>
  </r>
  <r>
    <n v="3383"/>
    <s v="Patricia Almeida"/>
    <x v="2"/>
    <d v="2024-07-27T00:00:00"/>
    <x v="1"/>
    <x v="2"/>
    <x v="0"/>
    <x v="1"/>
    <x v="1"/>
    <x v="0"/>
    <x v="0"/>
    <n v="10"/>
    <n v="20"/>
  </r>
  <r>
    <n v="3384"/>
    <s v="Quirino Junior"/>
    <x v="1"/>
    <d v="2024-07-28T00:00:00"/>
    <x v="0"/>
    <x v="1"/>
    <x v="1"/>
    <x v="1"/>
    <x v="1"/>
    <x v="1"/>
    <x v="1"/>
    <n v="0"/>
    <n v="5"/>
  </r>
  <r>
    <n v="3385"/>
    <s v="Renata Machado"/>
    <x v="0"/>
    <d v="2024-07-29T00:00:00"/>
    <x v="1"/>
    <x v="0"/>
    <x v="0"/>
    <x v="0"/>
    <x v="0"/>
    <x v="0"/>
    <x v="0"/>
    <n v="20"/>
    <n v="45"/>
  </r>
  <r>
    <n v="3386"/>
    <s v="Sônia Alves"/>
    <x v="2"/>
    <d v="2024-07-30T00:00:00"/>
    <x v="0"/>
    <x v="2"/>
    <x v="2"/>
    <x v="1"/>
    <x v="1"/>
    <x v="0"/>
    <x v="0"/>
    <n v="15"/>
    <n v="15"/>
  </r>
  <r>
    <n v="3387"/>
    <s v="Tiago Nunes"/>
    <x v="1"/>
    <d v="2024-07-31T00:00:00"/>
    <x v="1"/>
    <x v="1"/>
    <x v="0"/>
    <x v="1"/>
    <x v="1"/>
    <x v="1"/>
    <x v="1"/>
    <n v="1"/>
    <n v="4"/>
  </r>
  <r>
    <n v="3388"/>
    <s v="Ulysses Pereira"/>
    <x v="0"/>
    <d v="2024-08-01T00:00:00"/>
    <x v="0"/>
    <x v="0"/>
    <x v="1"/>
    <x v="0"/>
    <x v="0"/>
    <x v="0"/>
    <x v="0"/>
    <n v="3"/>
    <n v="62"/>
  </r>
  <r>
    <n v="3389"/>
    <s v="Vanessa Lima"/>
    <x v="2"/>
    <d v="2024-08-02T00:00:00"/>
    <x v="1"/>
    <x v="2"/>
    <x v="0"/>
    <x v="1"/>
    <x v="1"/>
    <x v="0"/>
    <x v="0"/>
    <n v="10"/>
    <n v="20"/>
  </r>
  <r>
    <n v="3390"/>
    <s v="Wagner Santos"/>
    <x v="1"/>
    <d v="2024-08-03T00:00:00"/>
    <x v="0"/>
    <x v="1"/>
    <x v="2"/>
    <x v="1"/>
    <x v="1"/>
    <x v="1"/>
    <x v="1"/>
    <n v="0"/>
    <n v="5"/>
  </r>
  <r>
    <n v="3391"/>
    <s v="Xuxa Meneghel"/>
    <x v="0"/>
    <d v="2024-08-04T00:00:00"/>
    <x v="1"/>
    <x v="0"/>
    <x v="0"/>
    <x v="0"/>
    <x v="0"/>
    <x v="0"/>
    <x v="0"/>
    <n v="15"/>
    <n v="50"/>
  </r>
  <r>
    <n v="3392"/>
    <s v="Yasmin Silva"/>
    <x v="2"/>
    <d v="2024-08-05T00:00:00"/>
    <x v="0"/>
    <x v="2"/>
    <x v="1"/>
    <x v="1"/>
    <x v="1"/>
    <x v="0"/>
    <x v="0"/>
    <n v="15"/>
    <n v="15"/>
  </r>
  <r>
    <n v="3393"/>
    <s v="Zacarias de Souza"/>
    <x v="1"/>
    <d v="2024-08-06T00:00:00"/>
    <x v="1"/>
    <x v="1"/>
    <x v="0"/>
    <x v="1"/>
    <x v="1"/>
    <x v="1"/>
    <x v="1"/>
    <n v="1"/>
    <n v="4"/>
  </r>
  <r>
    <n v="3394"/>
    <s v="André Lima"/>
    <x v="0"/>
    <d v="2024-08-07T00:00:00"/>
    <x v="0"/>
    <x v="0"/>
    <x v="2"/>
    <x v="0"/>
    <x v="0"/>
    <x v="0"/>
    <x v="0"/>
    <n v="7"/>
    <n v="58"/>
  </r>
  <r>
    <n v="3395"/>
    <s v="Bianca Freitas"/>
    <x v="2"/>
    <d v="2024-08-08T00:00:00"/>
    <x v="1"/>
    <x v="2"/>
    <x v="0"/>
    <x v="1"/>
    <x v="1"/>
    <x v="0"/>
    <x v="0"/>
    <n v="10"/>
    <n v="20"/>
  </r>
  <r>
    <n v="3396"/>
    <s v="Caio Mendes"/>
    <x v="1"/>
    <d v="2024-08-09T00:00:00"/>
    <x v="0"/>
    <x v="1"/>
    <x v="1"/>
    <x v="1"/>
    <x v="1"/>
    <x v="1"/>
    <x v="1"/>
    <n v="0"/>
    <n v="5"/>
  </r>
  <r>
    <n v="3397"/>
    <s v="Daniela Moura"/>
    <x v="0"/>
    <d v="2024-08-10T00:00:00"/>
    <x v="1"/>
    <x v="0"/>
    <x v="0"/>
    <x v="0"/>
    <x v="0"/>
    <x v="0"/>
    <x v="0"/>
    <n v="20"/>
    <n v="45"/>
  </r>
  <r>
    <n v="3398"/>
    <s v="Eduardo Costa"/>
    <x v="2"/>
    <d v="2024-08-11T00:00:00"/>
    <x v="0"/>
    <x v="2"/>
    <x v="2"/>
    <x v="1"/>
    <x v="1"/>
    <x v="0"/>
    <x v="0"/>
    <n v="15"/>
    <n v="15"/>
  </r>
  <r>
    <n v="3399"/>
    <s v="Fernanda Gomes"/>
    <x v="1"/>
    <d v="2024-08-12T00:00:00"/>
    <x v="1"/>
    <x v="1"/>
    <x v="0"/>
    <x v="1"/>
    <x v="1"/>
    <x v="1"/>
    <x v="1"/>
    <n v="1"/>
    <n v="4"/>
  </r>
  <r>
    <n v="3400"/>
    <s v="Guilherme Souza"/>
    <x v="0"/>
    <d v="2024-08-13T00:00:00"/>
    <x v="0"/>
    <x v="0"/>
    <x v="1"/>
    <x v="0"/>
    <x v="0"/>
    <x v="0"/>
    <x v="0"/>
    <n v="5"/>
    <n v="60"/>
  </r>
  <r>
    <n v="3401"/>
    <s v="Helena Ribeiro"/>
    <x v="2"/>
    <d v="2024-08-14T00:00:00"/>
    <x v="1"/>
    <x v="2"/>
    <x v="0"/>
    <x v="1"/>
    <x v="1"/>
    <x v="0"/>
    <x v="0"/>
    <n v="10"/>
    <n v="20"/>
  </r>
  <r>
    <n v="3402"/>
    <s v="Igor Santos"/>
    <x v="1"/>
    <d v="2024-08-15T00:00:00"/>
    <x v="0"/>
    <x v="1"/>
    <x v="2"/>
    <x v="1"/>
    <x v="1"/>
    <x v="1"/>
    <x v="1"/>
    <n v="0"/>
    <n v="5"/>
  </r>
  <r>
    <n v="3403"/>
    <s v="João Carvalho"/>
    <x v="0"/>
    <d v="2024-08-16T00:00:00"/>
    <x v="1"/>
    <x v="0"/>
    <x v="0"/>
    <x v="0"/>
    <x v="0"/>
    <x v="0"/>
    <x v="0"/>
    <n v="3"/>
    <n v="62"/>
  </r>
  <r>
    <n v="3404"/>
    <s v="Klara Fagundes"/>
    <x v="2"/>
    <d v="2024-08-17T00:00:00"/>
    <x v="0"/>
    <x v="2"/>
    <x v="1"/>
    <x v="1"/>
    <x v="1"/>
    <x v="0"/>
    <x v="0"/>
    <n v="15"/>
    <n v="15"/>
  </r>
  <r>
    <n v="3405"/>
    <s v="Lúcia Mendonça"/>
    <x v="1"/>
    <d v="2024-08-18T00:00:00"/>
    <x v="1"/>
    <x v="1"/>
    <x v="0"/>
    <x v="1"/>
    <x v="1"/>
    <x v="1"/>
    <x v="1"/>
    <n v="1"/>
    <n v="4"/>
  </r>
  <r>
    <n v="3406"/>
    <s v="Marcelo Novaes"/>
    <x v="1"/>
    <d v="2024-08-19T00:00:00"/>
    <x v="0"/>
    <x v="1"/>
    <x v="0"/>
    <x v="1"/>
    <x v="1"/>
    <x v="1"/>
    <x v="1"/>
    <n v="0"/>
    <n v="5"/>
  </r>
  <r>
    <n v="3407"/>
    <s v="Nina Pacheco"/>
    <x v="0"/>
    <d v="2024-08-20T00:00:00"/>
    <x v="1"/>
    <x v="0"/>
    <x v="2"/>
    <x v="0"/>
    <x v="0"/>
    <x v="0"/>
    <x v="0"/>
    <n v="7"/>
    <n v="58"/>
  </r>
  <r>
    <n v="3408"/>
    <s v="Olívia Rios"/>
    <x v="2"/>
    <d v="2024-08-21T00:00:00"/>
    <x v="0"/>
    <x v="2"/>
    <x v="1"/>
    <x v="1"/>
    <x v="1"/>
    <x v="0"/>
    <x v="0"/>
    <n v="10"/>
    <n v="20"/>
  </r>
  <r>
    <n v="3409"/>
    <s v="Paulo Quintana"/>
    <x v="1"/>
    <d v="2024-08-22T00:00:00"/>
    <x v="1"/>
    <x v="1"/>
    <x v="2"/>
    <x v="1"/>
    <x v="1"/>
    <x v="1"/>
    <x v="1"/>
    <n v="1"/>
    <n v="4"/>
  </r>
  <r>
    <n v="3410"/>
    <s v="Raquel Domingos"/>
    <x v="0"/>
    <d v="2024-08-23T00:00:00"/>
    <x v="0"/>
    <x v="0"/>
    <x v="0"/>
    <x v="0"/>
    <x v="0"/>
    <x v="0"/>
    <x v="0"/>
    <n v="15"/>
    <n v="50"/>
  </r>
  <r>
    <n v="3411"/>
    <s v="Samuel Viana"/>
    <x v="2"/>
    <d v="2024-08-24T00:00:00"/>
    <x v="1"/>
    <x v="2"/>
    <x v="0"/>
    <x v="1"/>
    <x v="1"/>
    <x v="0"/>
    <x v="0"/>
    <n v="5"/>
    <n v="25"/>
  </r>
  <r>
    <n v="3412"/>
    <s v="Tatiane Rocha"/>
    <x v="1"/>
    <d v="2024-08-25T00:00:00"/>
    <x v="0"/>
    <x v="1"/>
    <x v="1"/>
    <x v="1"/>
    <x v="1"/>
    <x v="1"/>
    <x v="1"/>
    <n v="0"/>
    <n v="5"/>
  </r>
  <r>
    <n v="3413"/>
    <s v="Ulysses Farias"/>
    <x v="0"/>
    <d v="2024-08-26T00:00:00"/>
    <x v="1"/>
    <x v="0"/>
    <x v="2"/>
    <x v="0"/>
    <x v="0"/>
    <x v="0"/>
    <x v="0"/>
    <n v="20"/>
    <n v="45"/>
  </r>
  <r>
    <n v="3414"/>
    <s v="Vanessa Moreira"/>
    <x v="2"/>
    <d v="2024-08-27T00:00:00"/>
    <x v="0"/>
    <x v="2"/>
    <x v="2"/>
    <x v="1"/>
    <x v="1"/>
    <x v="0"/>
    <x v="0"/>
    <n v="12"/>
    <n v="18"/>
  </r>
  <r>
    <n v="3415"/>
    <s v="William Carvalho"/>
    <x v="1"/>
    <d v="2024-08-28T00:00:00"/>
    <x v="1"/>
    <x v="1"/>
    <x v="0"/>
    <x v="1"/>
    <x v="1"/>
    <x v="1"/>
    <x v="1"/>
    <n v="2"/>
    <n v="3"/>
  </r>
  <r>
    <n v="3416"/>
    <s v="Ximena Barros"/>
    <x v="0"/>
    <d v="2024-08-29T00:00:00"/>
    <x v="0"/>
    <x v="0"/>
    <x v="1"/>
    <x v="0"/>
    <x v="0"/>
    <x v="0"/>
    <x v="0"/>
    <n v="5"/>
    <n v="60"/>
  </r>
  <r>
    <n v="3417"/>
    <s v="Yara Machado"/>
    <x v="2"/>
    <d v="2024-08-30T00:00:00"/>
    <x v="1"/>
    <x v="2"/>
    <x v="0"/>
    <x v="1"/>
    <x v="1"/>
    <x v="0"/>
    <x v="0"/>
    <n v="10"/>
    <n v="20"/>
  </r>
  <r>
    <n v="3418"/>
    <s v="Zacarias Costa"/>
    <x v="1"/>
    <d v="2024-08-31T00:00:00"/>
    <x v="0"/>
    <x v="1"/>
    <x v="2"/>
    <x v="1"/>
    <x v="1"/>
    <x v="1"/>
    <x v="1"/>
    <n v="0"/>
    <n v="5"/>
  </r>
  <r>
    <n v="3419"/>
    <s v="André Lopes"/>
    <x v="0"/>
    <d v="2024-09-01T00:00:00"/>
    <x v="1"/>
    <x v="0"/>
    <x v="0"/>
    <x v="0"/>
    <x v="0"/>
    <x v="0"/>
    <x v="0"/>
    <n v="3"/>
    <n v="62"/>
  </r>
  <r>
    <n v="3420"/>
    <s v="Beatriz Souza"/>
    <x v="2"/>
    <d v="2024-09-02T00:00:00"/>
    <x v="0"/>
    <x v="2"/>
    <x v="1"/>
    <x v="1"/>
    <x v="1"/>
    <x v="0"/>
    <x v="0"/>
    <n v="15"/>
    <n v="15"/>
  </r>
  <r>
    <n v="3421"/>
    <s v="Caio Pereira"/>
    <x v="1"/>
    <d v="2024-09-03T00:00:00"/>
    <x v="1"/>
    <x v="1"/>
    <x v="0"/>
    <x v="1"/>
    <x v="1"/>
    <x v="1"/>
    <x v="1"/>
    <n v="1"/>
    <n v="4"/>
  </r>
  <r>
    <n v="3422"/>
    <s v="Daniela Araújo"/>
    <x v="0"/>
    <d v="2024-09-04T00:00:00"/>
    <x v="0"/>
    <x v="0"/>
    <x v="2"/>
    <x v="0"/>
    <x v="0"/>
    <x v="0"/>
    <x v="0"/>
    <n v="7"/>
    <n v="58"/>
  </r>
  <r>
    <n v="3423"/>
    <s v="Eduardo Santos"/>
    <x v="2"/>
    <d v="2024-09-05T00:00:00"/>
    <x v="1"/>
    <x v="2"/>
    <x v="0"/>
    <x v="1"/>
    <x v="1"/>
    <x v="0"/>
    <x v="0"/>
    <n v="10"/>
    <n v="20"/>
  </r>
  <r>
    <n v="3424"/>
    <s v="Fernanda Lima"/>
    <x v="1"/>
    <d v="2024-09-06T00:00:00"/>
    <x v="0"/>
    <x v="1"/>
    <x v="1"/>
    <x v="1"/>
    <x v="1"/>
    <x v="1"/>
    <x v="1"/>
    <n v="0"/>
    <n v="5"/>
  </r>
  <r>
    <n v="3425"/>
    <s v="Gabriel Teixeira"/>
    <x v="0"/>
    <d v="2024-09-07T00:00:00"/>
    <x v="1"/>
    <x v="0"/>
    <x v="0"/>
    <x v="0"/>
    <x v="0"/>
    <x v="0"/>
    <x v="0"/>
    <n v="20"/>
    <n v="45"/>
  </r>
  <r>
    <n v="3426"/>
    <s v="Helena Ribeiro"/>
    <x v="2"/>
    <d v="2024-09-08T00:00:00"/>
    <x v="0"/>
    <x v="2"/>
    <x v="2"/>
    <x v="1"/>
    <x v="1"/>
    <x v="0"/>
    <x v="0"/>
    <n v="15"/>
    <n v="15"/>
  </r>
  <r>
    <n v="3427"/>
    <s v="Igor Mendes"/>
    <x v="1"/>
    <d v="2024-09-09T00:00:00"/>
    <x v="1"/>
    <x v="1"/>
    <x v="0"/>
    <x v="1"/>
    <x v="1"/>
    <x v="1"/>
    <x v="1"/>
    <n v="1"/>
    <n v="4"/>
  </r>
  <r>
    <n v="3428"/>
    <s v="Joana Silveira"/>
    <x v="0"/>
    <d v="2024-09-10T00:00:00"/>
    <x v="0"/>
    <x v="0"/>
    <x v="1"/>
    <x v="0"/>
    <x v="0"/>
    <x v="0"/>
    <x v="0"/>
    <n v="3"/>
    <n v="62"/>
  </r>
  <r>
    <n v="3429"/>
    <s v="Lucas Martins"/>
    <x v="2"/>
    <d v="2024-09-11T00:00:00"/>
    <x v="1"/>
    <x v="2"/>
    <x v="0"/>
    <x v="1"/>
    <x v="1"/>
    <x v="0"/>
    <x v="0"/>
    <n v="10"/>
    <n v="20"/>
  </r>
  <r>
    <n v="3430"/>
    <s v="Marcela Gouveia"/>
    <x v="1"/>
    <d v="2024-09-12T00:00:00"/>
    <x v="0"/>
    <x v="1"/>
    <x v="2"/>
    <x v="1"/>
    <x v="1"/>
    <x v="1"/>
    <x v="1"/>
    <n v="0"/>
    <n v="5"/>
  </r>
  <r>
    <n v="3431"/>
    <s v="Nicolas Borges"/>
    <x v="0"/>
    <d v="2024-09-13T00:00:00"/>
    <x v="1"/>
    <x v="0"/>
    <x v="0"/>
    <x v="0"/>
    <x v="0"/>
    <x v="0"/>
    <x v="0"/>
    <n v="15"/>
    <n v="50"/>
  </r>
  <r>
    <n v="3432"/>
    <s v="Olivia Freitas"/>
    <x v="2"/>
    <d v="2024-09-14T00:00:00"/>
    <x v="0"/>
    <x v="2"/>
    <x v="1"/>
    <x v="1"/>
    <x v="1"/>
    <x v="0"/>
    <x v="0"/>
    <n v="15"/>
    <n v="15"/>
  </r>
  <r>
    <n v="3433"/>
    <s v="Paulo Nogueira"/>
    <x v="1"/>
    <d v="2024-09-15T00:00:00"/>
    <x v="1"/>
    <x v="1"/>
    <x v="0"/>
    <x v="1"/>
    <x v="1"/>
    <x v="1"/>
    <x v="1"/>
    <n v="1"/>
    <n v="4"/>
  </r>
  <r>
    <n v="3434"/>
    <s v="Raquel Andrade"/>
    <x v="0"/>
    <d v="2024-09-16T00:00:00"/>
    <x v="0"/>
    <x v="0"/>
    <x v="2"/>
    <x v="0"/>
    <x v="0"/>
    <x v="0"/>
    <x v="0"/>
    <n v="7"/>
    <n v="58"/>
  </r>
  <r>
    <n v="3435"/>
    <s v="Sônia Carvalho"/>
    <x v="2"/>
    <d v="2024-09-17T00:00:00"/>
    <x v="1"/>
    <x v="2"/>
    <x v="0"/>
    <x v="1"/>
    <x v="1"/>
    <x v="0"/>
    <x v="0"/>
    <n v="10"/>
    <n v="20"/>
  </r>
  <r>
    <n v="3436"/>
    <s v="Tiago Rodrigues"/>
    <x v="1"/>
    <d v="2024-09-18T00:00:00"/>
    <x v="0"/>
    <x v="1"/>
    <x v="0"/>
    <x v="1"/>
    <x v="1"/>
    <x v="1"/>
    <x v="1"/>
    <n v="0"/>
    <n v="5"/>
  </r>
  <r>
    <n v="3437"/>
    <s v="Ursula Monteiro"/>
    <x v="0"/>
    <d v="2024-09-19T00:00:00"/>
    <x v="1"/>
    <x v="0"/>
    <x v="2"/>
    <x v="0"/>
    <x v="0"/>
    <x v="0"/>
    <x v="0"/>
    <n v="7"/>
    <n v="58"/>
  </r>
  <r>
    <n v="3438"/>
    <s v="Vanessa Pereira"/>
    <x v="2"/>
    <d v="2024-09-20T00:00:00"/>
    <x v="0"/>
    <x v="2"/>
    <x v="1"/>
    <x v="1"/>
    <x v="1"/>
    <x v="0"/>
    <x v="0"/>
    <n v="10"/>
    <n v="20"/>
  </r>
  <r>
    <n v="3439"/>
    <s v="Walter Silva"/>
    <x v="1"/>
    <d v="2024-09-21T00:00:00"/>
    <x v="1"/>
    <x v="1"/>
    <x v="2"/>
    <x v="1"/>
    <x v="1"/>
    <x v="1"/>
    <x v="1"/>
    <n v="1"/>
    <n v="4"/>
  </r>
  <r>
    <n v="3440"/>
    <s v="Xavier Almeida"/>
    <x v="0"/>
    <d v="2024-09-22T00:00:00"/>
    <x v="0"/>
    <x v="0"/>
    <x v="0"/>
    <x v="0"/>
    <x v="0"/>
    <x v="0"/>
    <x v="0"/>
    <n v="15"/>
    <n v="50"/>
  </r>
  <r>
    <n v="3441"/>
    <s v="Yasmine Correia"/>
    <x v="2"/>
    <d v="2024-09-23T00:00:00"/>
    <x v="1"/>
    <x v="2"/>
    <x v="0"/>
    <x v="1"/>
    <x v="1"/>
    <x v="0"/>
    <x v="0"/>
    <n v="5"/>
    <n v="25"/>
  </r>
  <r>
    <n v="3442"/>
    <s v="Zacarias Almeida"/>
    <x v="1"/>
    <d v="2024-09-24T00:00:00"/>
    <x v="0"/>
    <x v="1"/>
    <x v="1"/>
    <x v="1"/>
    <x v="1"/>
    <x v="1"/>
    <x v="1"/>
    <n v="0"/>
    <n v="5"/>
  </r>
  <r>
    <n v="3443"/>
    <s v="Amanda Costa"/>
    <x v="0"/>
    <d v="2024-09-25T00:00:00"/>
    <x v="1"/>
    <x v="0"/>
    <x v="2"/>
    <x v="0"/>
    <x v="0"/>
    <x v="0"/>
    <x v="0"/>
    <n v="20"/>
    <n v="45"/>
  </r>
  <r>
    <n v="3444"/>
    <s v="Bruno Ferreira"/>
    <x v="2"/>
    <d v="2024-09-26T00:00:00"/>
    <x v="0"/>
    <x v="2"/>
    <x v="2"/>
    <x v="1"/>
    <x v="1"/>
    <x v="0"/>
    <x v="0"/>
    <n v="12"/>
    <n v="18"/>
  </r>
  <r>
    <n v="3445"/>
    <s v="Carla Dias"/>
    <x v="1"/>
    <d v="2024-09-27T00:00:00"/>
    <x v="1"/>
    <x v="1"/>
    <x v="0"/>
    <x v="1"/>
    <x v="1"/>
    <x v="1"/>
    <x v="1"/>
    <n v="2"/>
    <n v="3"/>
  </r>
  <r>
    <n v="3446"/>
    <s v="Diogo Martins"/>
    <x v="0"/>
    <d v="2024-09-28T00:00:00"/>
    <x v="0"/>
    <x v="0"/>
    <x v="1"/>
    <x v="0"/>
    <x v="0"/>
    <x v="0"/>
    <x v="0"/>
    <n v="5"/>
    <n v="60"/>
  </r>
  <r>
    <n v="3447"/>
    <s v="Elisa Campos"/>
    <x v="2"/>
    <d v="2024-09-29T00:00:00"/>
    <x v="1"/>
    <x v="2"/>
    <x v="0"/>
    <x v="1"/>
    <x v="1"/>
    <x v="0"/>
    <x v="0"/>
    <n v="10"/>
    <n v="20"/>
  </r>
  <r>
    <n v="3448"/>
    <s v="Fabiana Lima"/>
    <x v="1"/>
    <d v="2024-09-30T00:00:00"/>
    <x v="0"/>
    <x v="1"/>
    <x v="2"/>
    <x v="1"/>
    <x v="1"/>
    <x v="1"/>
    <x v="1"/>
    <n v="0"/>
    <n v="5"/>
  </r>
  <r>
    <n v="3449"/>
    <s v="Gabriel Santos"/>
    <x v="0"/>
    <d v="2024-10-01T00:00:00"/>
    <x v="1"/>
    <x v="0"/>
    <x v="0"/>
    <x v="0"/>
    <x v="0"/>
    <x v="0"/>
    <x v="0"/>
    <n v="3"/>
    <n v="62"/>
  </r>
  <r>
    <n v="3450"/>
    <s v="Helena Ferreira"/>
    <x v="2"/>
    <d v="2024-10-02T00:00:00"/>
    <x v="0"/>
    <x v="2"/>
    <x v="1"/>
    <x v="1"/>
    <x v="1"/>
    <x v="0"/>
    <x v="0"/>
    <n v="15"/>
    <n v="15"/>
  </r>
  <r>
    <n v="3451"/>
    <s v="Ígor Nunes"/>
    <x v="1"/>
    <d v="2024-10-03T00:00:00"/>
    <x v="1"/>
    <x v="1"/>
    <x v="0"/>
    <x v="1"/>
    <x v="1"/>
    <x v="1"/>
    <x v="1"/>
    <n v="1"/>
    <n v="4"/>
  </r>
  <r>
    <n v="3452"/>
    <s v="Joana Silveira"/>
    <x v="0"/>
    <d v="2024-10-04T00:00:00"/>
    <x v="0"/>
    <x v="0"/>
    <x v="2"/>
    <x v="0"/>
    <x v="0"/>
    <x v="0"/>
    <x v="0"/>
    <n v="7"/>
    <n v="58"/>
  </r>
  <r>
    <n v="3453"/>
    <s v="Kléber Oliveira"/>
    <x v="2"/>
    <d v="2024-10-05T00:00:00"/>
    <x v="1"/>
    <x v="2"/>
    <x v="0"/>
    <x v="1"/>
    <x v="1"/>
    <x v="0"/>
    <x v="0"/>
    <n v="10"/>
    <n v="20"/>
  </r>
  <r>
    <n v="3454"/>
    <s v="Luciana Morais"/>
    <x v="1"/>
    <d v="2024-10-06T00:00:00"/>
    <x v="0"/>
    <x v="1"/>
    <x v="1"/>
    <x v="1"/>
    <x v="1"/>
    <x v="1"/>
    <x v="1"/>
    <n v="0"/>
    <n v="5"/>
  </r>
  <r>
    <n v="3455"/>
    <s v="Marcos Vinícius"/>
    <x v="0"/>
    <d v="2024-10-07T00:00:00"/>
    <x v="1"/>
    <x v="0"/>
    <x v="0"/>
    <x v="0"/>
    <x v="0"/>
    <x v="0"/>
    <x v="0"/>
    <n v="20"/>
    <n v="45"/>
  </r>
  <r>
    <n v="3456"/>
    <s v="Natália Barros"/>
    <x v="2"/>
    <d v="2024-10-08T00:00:00"/>
    <x v="0"/>
    <x v="2"/>
    <x v="2"/>
    <x v="1"/>
    <x v="1"/>
    <x v="0"/>
    <x v="0"/>
    <n v="15"/>
    <n v="15"/>
  </r>
  <r>
    <n v="3457"/>
    <s v="Oscar Sampaio"/>
    <x v="1"/>
    <d v="2024-10-09T00:00:00"/>
    <x v="1"/>
    <x v="1"/>
    <x v="0"/>
    <x v="1"/>
    <x v="1"/>
    <x v="1"/>
    <x v="1"/>
    <n v="1"/>
    <n v="4"/>
  </r>
  <r>
    <n v="3458"/>
    <s v="Patrícia Leite"/>
    <x v="0"/>
    <d v="2024-10-10T00:00:00"/>
    <x v="0"/>
    <x v="0"/>
    <x v="1"/>
    <x v="0"/>
    <x v="0"/>
    <x v="0"/>
    <x v="0"/>
    <n v="3"/>
    <n v="62"/>
  </r>
  <r>
    <n v="3459"/>
    <s v="Quênia Rocha"/>
    <x v="2"/>
    <d v="2024-10-11T00:00:00"/>
    <x v="1"/>
    <x v="2"/>
    <x v="0"/>
    <x v="1"/>
    <x v="1"/>
    <x v="0"/>
    <x v="0"/>
    <n v="10"/>
    <n v="20"/>
  </r>
  <r>
    <n v="3460"/>
    <s v="Rafael Torres"/>
    <x v="1"/>
    <d v="2024-10-12T00:00:00"/>
    <x v="0"/>
    <x v="1"/>
    <x v="2"/>
    <x v="1"/>
    <x v="1"/>
    <x v="1"/>
    <x v="1"/>
    <n v="0"/>
    <n v="5"/>
  </r>
  <r>
    <n v="3461"/>
    <s v="Sandra Gouveia"/>
    <x v="0"/>
    <d v="2024-10-13T00:00:00"/>
    <x v="1"/>
    <x v="0"/>
    <x v="0"/>
    <x v="0"/>
    <x v="0"/>
    <x v="0"/>
    <x v="0"/>
    <n v="15"/>
    <n v="50"/>
  </r>
  <r>
    <n v="3462"/>
    <s v="Tiago Lacerda"/>
    <x v="2"/>
    <d v="2024-10-14T00:00:00"/>
    <x v="0"/>
    <x v="2"/>
    <x v="1"/>
    <x v="1"/>
    <x v="1"/>
    <x v="0"/>
    <x v="0"/>
    <n v="15"/>
    <n v="15"/>
  </r>
  <r>
    <n v="3463"/>
    <s v="Ursula Fonseca"/>
    <x v="1"/>
    <d v="2024-10-15T00:00:00"/>
    <x v="1"/>
    <x v="1"/>
    <x v="0"/>
    <x v="1"/>
    <x v="1"/>
    <x v="1"/>
    <x v="1"/>
    <n v="1"/>
    <n v="4"/>
  </r>
  <r>
    <n v="3464"/>
    <s v="Vanessa Andrade"/>
    <x v="0"/>
    <d v="2024-10-16T00:00:00"/>
    <x v="0"/>
    <x v="0"/>
    <x v="2"/>
    <x v="0"/>
    <x v="0"/>
    <x v="0"/>
    <x v="0"/>
    <n v="7"/>
    <n v="58"/>
  </r>
  <r>
    <n v="3465"/>
    <s v="William Castro"/>
    <x v="2"/>
    <d v="2024-10-17T00:00:00"/>
    <x v="1"/>
    <x v="2"/>
    <x v="0"/>
    <x v="1"/>
    <x v="1"/>
    <x v="0"/>
    <x v="0"/>
    <n v="10"/>
    <n v="20"/>
  </r>
  <r>
    <n v="3466"/>
    <s v="Xavier Monteiro"/>
    <x v="1"/>
    <d v="2024-10-18T00:00:00"/>
    <x v="0"/>
    <x v="1"/>
    <x v="1"/>
    <x v="1"/>
    <x v="1"/>
    <x v="1"/>
    <x v="1"/>
    <n v="0"/>
    <n v="5"/>
  </r>
  <r>
    <n v="3467"/>
    <s v="Yasmin Figueira"/>
    <x v="0"/>
    <d v="2024-10-19T00:00:00"/>
    <x v="1"/>
    <x v="0"/>
    <x v="0"/>
    <x v="0"/>
    <x v="0"/>
    <x v="0"/>
    <x v="0"/>
    <n v="15"/>
    <n v="50"/>
  </r>
  <r>
    <n v="3468"/>
    <s v="Zacarias Mendonça"/>
    <x v="2"/>
    <d v="2024-10-20T00:00:00"/>
    <x v="0"/>
    <x v="2"/>
    <x v="2"/>
    <x v="1"/>
    <x v="1"/>
    <x v="0"/>
    <x v="0"/>
    <n v="12"/>
    <n v="18"/>
  </r>
  <r>
    <n v="3469"/>
    <s v="Amanda Menezes"/>
    <x v="1"/>
    <d v="2024-10-21T00:00:00"/>
    <x v="1"/>
    <x v="1"/>
    <x v="0"/>
    <x v="1"/>
    <x v="1"/>
    <x v="1"/>
    <x v="1"/>
    <n v="2"/>
    <n v="3"/>
  </r>
  <r>
    <n v="3470"/>
    <s v="Bruno Santos"/>
    <x v="0"/>
    <d v="2024-10-22T00:00:00"/>
    <x v="0"/>
    <x v="0"/>
    <x v="1"/>
    <x v="0"/>
    <x v="0"/>
    <x v="0"/>
    <x v="0"/>
    <n v="5"/>
    <n v="60"/>
  </r>
  <r>
    <n v="3471"/>
    <s v="Carla Ferreira"/>
    <x v="2"/>
    <d v="2024-10-23T00:00:00"/>
    <x v="1"/>
    <x v="2"/>
    <x v="0"/>
    <x v="1"/>
    <x v="1"/>
    <x v="0"/>
    <x v="0"/>
    <n v="10"/>
    <n v="20"/>
  </r>
  <r>
    <n v="3472"/>
    <s v="Diogo Alves"/>
    <x v="1"/>
    <d v="2024-10-24T00:00:00"/>
    <x v="0"/>
    <x v="1"/>
    <x v="2"/>
    <x v="1"/>
    <x v="1"/>
    <x v="1"/>
    <x v="1"/>
    <n v="0"/>
    <n v="5"/>
  </r>
  <r>
    <n v="3473"/>
    <s v="Elisa Neves"/>
    <x v="0"/>
    <d v="2024-10-25T00:00:00"/>
    <x v="1"/>
    <x v="0"/>
    <x v="0"/>
    <x v="0"/>
    <x v="0"/>
    <x v="0"/>
    <x v="0"/>
    <n v="3"/>
    <n v="62"/>
  </r>
  <r>
    <n v="3474"/>
    <s v="Fabiano Pires"/>
    <x v="2"/>
    <d v="2024-10-26T00:00:00"/>
    <x v="0"/>
    <x v="2"/>
    <x v="1"/>
    <x v="1"/>
    <x v="1"/>
    <x v="0"/>
    <x v="0"/>
    <n v="15"/>
    <n v="15"/>
  </r>
  <r>
    <n v="3475"/>
    <s v="Giovana Ribeiro"/>
    <x v="1"/>
    <d v="2024-10-27T00:00:00"/>
    <x v="1"/>
    <x v="1"/>
    <x v="0"/>
    <x v="1"/>
    <x v="1"/>
    <x v="1"/>
    <x v="1"/>
    <n v="1"/>
    <n v="4"/>
  </r>
  <r>
    <n v="3476"/>
    <s v="Hélio Costa"/>
    <x v="0"/>
    <d v="2024-10-28T00:00:00"/>
    <x v="0"/>
    <x v="0"/>
    <x v="2"/>
    <x v="0"/>
    <x v="0"/>
    <x v="0"/>
    <x v="0"/>
    <n v="7"/>
    <n v="58"/>
  </r>
  <r>
    <n v="3477"/>
    <s v="Íris Loureiro"/>
    <x v="2"/>
    <d v="2024-10-29T00:00:00"/>
    <x v="1"/>
    <x v="2"/>
    <x v="0"/>
    <x v="1"/>
    <x v="1"/>
    <x v="0"/>
    <x v="0"/>
    <n v="10"/>
    <n v="20"/>
  </r>
  <r>
    <n v="3478"/>
    <s v="João Pereira"/>
    <x v="1"/>
    <d v="2024-10-30T00:00:00"/>
    <x v="0"/>
    <x v="1"/>
    <x v="1"/>
    <x v="1"/>
    <x v="1"/>
    <x v="1"/>
    <x v="1"/>
    <n v="0"/>
    <n v="5"/>
  </r>
  <r>
    <n v="3479"/>
    <s v="Klara Silva"/>
    <x v="0"/>
    <d v="2024-10-31T00:00:00"/>
    <x v="1"/>
    <x v="0"/>
    <x v="0"/>
    <x v="0"/>
    <x v="0"/>
    <x v="0"/>
    <x v="0"/>
    <n v="20"/>
    <n v="45"/>
  </r>
  <r>
    <n v="3480"/>
    <s v="Luciana Barros"/>
    <x v="2"/>
    <d v="2024-11-01T00:00:00"/>
    <x v="0"/>
    <x v="2"/>
    <x v="2"/>
    <x v="1"/>
    <x v="1"/>
    <x v="0"/>
    <x v="0"/>
    <n v="15"/>
    <n v="15"/>
  </r>
  <r>
    <n v="3481"/>
    <s v="Marcos Gomes"/>
    <x v="1"/>
    <d v="2024-11-02T00:00:00"/>
    <x v="1"/>
    <x v="1"/>
    <x v="0"/>
    <x v="1"/>
    <x v="1"/>
    <x v="1"/>
    <x v="1"/>
    <n v="1"/>
    <n v="4"/>
  </r>
  <r>
    <n v="3482"/>
    <s v="Natália Soares"/>
    <x v="0"/>
    <d v="2024-11-03T00:00:00"/>
    <x v="0"/>
    <x v="0"/>
    <x v="1"/>
    <x v="0"/>
    <x v="0"/>
    <x v="0"/>
    <x v="0"/>
    <n v="3"/>
    <n v="62"/>
  </r>
  <r>
    <n v="3483"/>
    <s v="Oscar Machado"/>
    <x v="2"/>
    <d v="2024-11-04T00:00:00"/>
    <x v="1"/>
    <x v="2"/>
    <x v="0"/>
    <x v="1"/>
    <x v="1"/>
    <x v="0"/>
    <x v="0"/>
    <n v="10"/>
    <n v="20"/>
  </r>
  <r>
    <n v="3484"/>
    <s v="Patrícia Lima"/>
    <x v="1"/>
    <d v="2024-11-05T00:00:00"/>
    <x v="0"/>
    <x v="1"/>
    <x v="2"/>
    <x v="1"/>
    <x v="1"/>
    <x v="1"/>
    <x v="1"/>
    <n v="0"/>
    <n v="5"/>
  </r>
  <r>
    <n v="3485"/>
    <s v="Quirino Neto"/>
    <x v="0"/>
    <d v="2024-11-06T00:00:00"/>
    <x v="1"/>
    <x v="0"/>
    <x v="0"/>
    <x v="0"/>
    <x v="0"/>
    <x v="0"/>
    <x v="0"/>
    <n v="15"/>
    <n v="50"/>
  </r>
  <r>
    <n v="3486"/>
    <s v="Rafaela Souza"/>
    <x v="1"/>
    <d v="2024-11-07T00:00:00"/>
    <x v="0"/>
    <x v="1"/>
    <x v="0"/>
    <x v="1"/>
    <x v="1"/>
    <x v="1"/>
    <x v="1"/>
    <n v="0"/>
    <n v="5"/>
  </r>
  <r>
    <n v="3487"/>
    <s v="Sandro Almeida"/>
    <x v="0"/>
    <d v="2024-11-08T00:00:00"/>
    <x v="1"/>
    <x v="0"/>
    <x v="2"/>
    <x v="0"/>
    <x v="0"/>
    <x v="0"/>
    <x v="0"/>
    <n v="7"/>
    <n v="58"/>
  </r>
  <r>
    <n v="3488"/>
    <s v="Tânia Ribeiro"/>
    <x v="2"/>
    <d v="2024-11-09T00:00:00"/>
    <x v="0"/>
    <x v="2"/>
    <x v="1"/>
    <x v="1"/>
    <x v="1"/>
    <x v="0"/>
    <x v="0"/>
    <n v="10"/>
    <n v="20"/>
  </r>
  <r>
    <n v="3489"/>
    <s v="Ugo Dias"/>
    <x v="1"/>
    <d v="2024-11-10T00:00:00"/>
    <x v="1"/>
    <x v="1"/>
    <x v="2"/>
    <x v="1"/>
    <x v="1"/>
    <x v="1"/>
    <x v="1"/>
    <n v="1"/>
    <n v="4"/>
  </r>
  <r>
    <n v="3490"/>
    <s v="Valéria Lima"/>
    <x v="0"/>
    <d v="2024-11-11T00:00:00"/>
    <x v="0"/>
    <x v="0"/>
    <x v="0"/>
    <x v="0"/>
    <x v="0"/>
    <x v="0"/>
    <x v="0"/>
    <n v="15"/>
    <n v="50"/>
  </r>
  <r>
    <n v="3491"/>
    <s v="William Fernandes"/>
    <x v="2"/>
    <d v="2024-11-12T00:00:00"/>
    <x v="1"/>
    <x v="2"/>
    <x v="0"/>
    <x v="1"/>
    <x v="1"/>
    <x v="0"/>
    <x v="0"/>
    <n v="5"/>
    <n v="25"/>
  </r>
  <r>
    <n v="3492"/>
    <s v="Xuxa Mendes"/>
    <x v="1"/>
    <d v="2024-11-13T00:00:00"/>
    <x v="0"/>
    <x v="1"/>
    <x v="1"/>
    <x v="1"/>
    <x v="1"/>
    <x v="1"/>
    <x v="1"/>
    <n v="0"/>
    <n v="5"/>
  </r>
  <r>
    <n v="3493"/>
    <s v="Ygor Farias"/>
    <x v="0"/>
    <d v="2024-11-14T00:00:00"/>
    <x v="1"/>
    <x v="0"/>
    <x v="2"/>
    <x v="0"/>
    <x v="0"/>
    <x v="0"/>
    <x v="0"/>
    <n v="20"/>
    <n v="45"/>
  </r>
  <r>
    <n v="3494"/>
    <s v="Zilda Barros"/>
    <x v="2"/>
    <d v="2024-11-15T00:00:00"/>
    <x v="0"/>
    <x v="2"/>
    <x v="2"/>
    <x v="1"/>
    <x v="1"/>
    <x v="0"/>
    <x v="0"/>
    <n v="12"/>
    <n v="18"/>
  </r>
  <r>
    <n v="3495"/>
    <s v="Amanda Santos"/>
    <x v="1"/>
    <d v="2024-11-16T00:00:00"/>
    <x v="1"/>
    <x v="1"/>
    <x v="0"/>
    <x v="1"/>
    <x v="1"/>
    <x v="1"/>
    <x v="1"/>
    <n v="2"/>
    <n v="3"/>
  </r>
  <r>
    <n v="3496"/>
    <s v="Bruno Costa"/>
    <x v="0"/>
    <d v="2024-11-17T00:00:00"/>
    <x v="0"/>
    <x v="0"/>
    <x v="1"/>
    <x v="0"/>
    <x v="0"/>
    <x v="0"/>
    <x v="0"/>
    <n v="5"/>
    <n v="60"/>
  </r>
  <r>
    <n v="3497"/>
    <s v="Carla Rodrigues"/>
    <x v="2"/>
    <d v="2024-11-18T00:00:00"/>
    <x v="1"/>
    <x v="2"/>
    <x v="0"/>
    <x v="1"/>
    <x v="1"/>
    <x v="0"/>
    <x v="0"/>
    <n v="10"/>
    <n v="20"/>
  </r>
  <r>
    <n v="3498"/>
    <s v="Diogo Pereira"/>
    <x v="1"/>
    <d v="2024-11-19T00:00:00"/>
    <x v="0"/>
    <x v="1"/>
    <x v="2"/>
    <x v="1"/>
    <x v="1"/>
    <x v="1"/>
    <x v="1"/>
    <n v="0"/>
    <n v="5"/>
  </r>
  <r>
    <n v="3499"/>
    <s v="Elisa Correia"/>
    <x v="0"/>
    <d v="2024-11-20T00:00:00"/>
    <x v="1"/>
    <x v="0"/>
    <x v="0"/>
    <x v="0"/>
    <x v="0"/>
    <x v="0"/>
    <x v="0"/>
    <n v="3"/>
    <n v="62"/>
  </r>
  <r>
    <n v="3500"/>
    <s v="Fábio Lourenço"/>
    <x v="2"/>
    <d v="2024-11-21T00:00:00"/>
    <x v="0"/>
    <x v="2"/>
    <x v="1"/>
    <x v="1"/>
    <x v="1"/>
    <x v="0"/>
    <x v="0"/>
    <n v="15"/>
    <n v="15"/>
  </r>
  <r>
    <n v="3501"/>
    <s v="Gabriela Neves"/>
    <x v="1"/>
    <d v="2024-11-22T00:00:00"/>
    <x v="1"/>
    <x v="1"/>
    <x v="0"/>
    <x v="1"/>
    <x v="1"/>
    <x v="1"/>
    <x v="1"/>
    <n v="1"/>
    <n v="4"/>
  </r>
  <r>
    <n v="3502"/>
    <s v="Henrique Gonçalves"/>
    <x v="0"/>
    <d v="2024-11-23T00:00:00"/>
    <x v="0"/>
    <x v="0"/>
    <x v="2"/>
    <x v="0"/>
    <x v="0"/>
    <x v="0"/>
    <x v="0"/>
    <n v="7"/>
    <n v="58"/>
  </r>
  <r>
    <n v="3503"/>
    <s v="Íris Santos"/>
    <x v="2"/>
    <d v="2024-11-24T00:00:00"/>
    <x v="1"/>
    <x v="2"/>
    <x v="0"/>
    <x v="1"/>
    <x v="1"/>
    <x v="0"/>
    <x v="0"/>
    <n v="10"/>
    <n v="20"/>
  </r>
  <r>
    <n v="3504"/>
    <s v="João Marcelo Alves"/>
    <x v="1"/>
    <d v="2024-11-25T00:00:00"/>
    <x v="0"/>
    <x v="1"/>
    <x v="1"/>
    <x v="1"/>
    <x v="1"/>
    <x v="1"/>
    <x v="1"/>
    <n v="0"/>
    <n v="5"/>
  </r>
  <r>
    <n v="3505"/>
    <s v="Klara Fonseca"/>
    <x v="0"/>
    <d v="2024-11-26T00:00:00"/>
    <x v="1"/>
    <x v="0"/>
    <x v="0"/>
    <x v="0"/>
    <x v="0"/>
    <x v="0"/>
    <x v="0"/>
    <n v="20"/>
    <n v="45"/>
  </r>
  <r>
    <n v="3506"/>
    <s v="Lucas Mendonça"/>
    <x v="2"/>
    <d v="2024-11-27T00:00:00"/>
    <x v="0"/>
    <x v="2"/>
    <x v="2"/>
    <x v="1"/>
    <x v="1"/>
    <x v="0"/>
    <x v="0"/>
    <n v="15"/>
    <n v="15"/>
  </r>
  <r>
    <n v="3507"/>
    <s v="Marcela Torres"/>
    <x v="1"/>
    <d v="2024-11-28T00:00:00"/>
    <x v="1"/>
    <x v="1"/>
    <x v="0"/>
    <x v="1"/>
    <x v="1"/>
    <x v="1"/>
    <x v="1"/>
    <n v="1"/>
    <n v="4"/>
  </r>
  <r>
    <n v="3508"/>
    <s v="Natália Castro"/>
    <x v="0"/>
    <d v="2024-11-29T00:00:00"/>
    <x v="0"/>
    <x v="0"/>
    <x v="1"/>
    <x v="0"/>
    <x v="0"/>
    <x v="0"/>
    <x v="0"/>
    <n v="3"/>
    <n v="62"/>
  </r>
  <r>
    <n v="3509"/>
    <s v="Oscar Martins"/>
    <x v="2"/>
    <d v="2024-11-30T00:00:00"/>
    <x v="1"/>
    <x v="2"/>
    <x v="0"/>
    <x v="1"/>
    <x v="1"/>
    <x v="0"/>
    <x v="0"/>
    <n v="10"/>
    <n v="20"/>
  </r>
  <r>
    <n v="3510"/>
    <s v="Patrícia Oliveira"/>
    <x v="1"/>
    <d v="2024-12-01T00:00:00"/>
    <x v="0"/>
    <x v="1"/>
    <x v="2"/>
    <x v="1"/>
    <x v="1"/>
    <x v="1"/>
    <x v="1"/>
    <n v="0"/>
    <n v="5"/>
  </r>
  <r>
    <n v="3511"/>
    <s v="Quentin Nogueira"/>
    <x v="0"/>
    <d v="2024-12-02T00:00:00"/>
    <x v="1"/>
    <x v="0"/>
    <x v="0"/>
    <x v="0"/>
    <x v="0"/>
    <x v="0"/>
    <x v="0"/>
    <n v="15"/>
    <n v="50"/>
  </r>
  <r>
    <n v="3512"/>
    <s v="Raquel Silva"/>
    <x v="2"/>
    <d v="2024-12-03T00:00:00"/>
    <x v="0"/>
    <x v="2"/>
    <x v="1"/>
    <x v="1"/>
    <x v="1"/>
    <x v="0"/>
    <x v="0"/>
    <n v="15"/>
    <n v="15"/>
  </r>
  <r>
    <n v="3513"/>
    <s v="Sandro Gomes"/>
    <x v="1"/>
    <d v="2024-12-04T00:00:00"/>
    <x v="1"/>
    <x v="1"/>
    <x v="0"/>
    <x v="1"/>
    <x v="1"/>
    <x v="1"/>
    <x v="1"/>
    <n v="1"/>
    <n v="4"/>
  </r>
  <r>
    <n v="3514"/>
    <s v="Tânia Machado"/>
    <x v="0"/>
    <d v="2024-12-05T00:00:00"/>
    <x v="0"/>
    <x v="0"/>
    <x v="2"/>
    <x v="0"/>
    <x v="0"/>
    <x v="0"/>
    <x v="0"/>
    <n v="7"/>
    <n v="58"/>
  </r>
  <r>
    <n v="3515"/>
    <s v="Ursula Silva"/>
    <x v="2"/>
    <d v="2024-12-06T00:00:00"/>
    <x v="1"/>
    <x v="2"/>
    <x v="0"/>
    <x v="1"/>
    <x v="1"/>
    <x v="0"/>
    <x v="0"/>
    <n v="10"/>
    <n v="20"/>
  </r>
  <r>
    <n v="3516"/>
    <s v="Vanessa Moraes"/>
    <x v="1"/>
    <d v="2024-12-07T00:00:00"/>
    <x v="0"/>
    <x v="1"/>
    <x v="1"/>
    <x v="1"/>
    <x v="1"/>
    <x v="1"/>
    <x v="1"/>
    <n v="0"/>
    <n v="5"/>
  </r>
  <r>
    <n v="3517"/>
    <s v="William Carvalho"/>
    <x v="0"/>
    <d v="2024-12-08T00:00:00"/>
    <x v="1"/>
    <x v="0"/>
    <x v="0"/>
    <x v="0"/>
    <x v="0"/>
    <x v="0"/>
    <x v="0"/>
    <n v="20"/>
    <n v="45"/>
  </r>
  <r>
    <n v="3518"/>
    <s v="Xavier Reis"/>
    <x v="2"/>
    <d v="2024-12-09T00:00:00"/>
    <x v="0"/>
    <x v="2"/>
    <x v="2"/>
    <x v="1"/>
    <x v="1"/>
    <x v="0"/>
    <x v="0"/>
    <n v="12"/>
    <n v="18"/>
  </r>
  <r>
    <n v="3519"/>
    <s v="Yasmin Rocha"/>
    <x v="1"/>
    <d v="2024-12-10T00:00:00"/>
    <x v="1"/>
    <x v="1"/>
    <x v="0"/>
    <x v="1"/>
    <x v="1"/>
    <x v="1"/>
    <x v="1"/>
    <n v="2"/>
    <n v="3"/>
  </r>
  <r>
    <n v="3520"/>
    <s v="Zacarias Duarte"/>
    <x v="0"/>
    <d v="2024-12-11T00:00:00"/>
    <x v="0"/>
    <x v="0"/>
    <x v="1"/>
    <x v="0"/>
    <x v="0"/>
    <x v="0"/>
    <x v="0"/>
    <n v="5"/>
    <n v="60"/>
  </r>
  <r>
    <n v="3521"/>
    <s v="Amanda Freitas"/>
    <x v="2"/>
    <d v="2024-12-12T00:00:00"/>
    <x v="1"/>
    <x v="2"/>
    <x v="0"/>
    <x v="1"/>
    <x v="1"/>
    <x v="0"/>
    <x v="0"/>
    <n v="10"/>
    <n v="20"/>
  </r>
  <r>
    <n v="3522"/>
    <s v="Bruno Almeida"/>
    <x v="1"/>
    <d v="2024-12-13T00:00:00"/>
    <x v="0"/>
    <x v="1"/>
    <x v="2"/>
    <x v="1"/>
    <x v="1"/>
    <x v="1"/>
    <x v="1"/>
    <n v="0"/>
    <n v="5"/>
  </r>
  <r>
    <n v="3523"/>
    <s v="Carla Siqueira"/>
    <x v="0"/>
    <d v="2024-12-14T00:00:00"/>
    <x v="1"/>
    <x v="0"/>
    <x v="0"/>
    <x v="0"/>
    <x v="0"/>
    <x v="0"/>
    <x v="0"/>
    <n v="3"/>
    <n v="62"/>
  </r>
  <r>
    <n v="3524"/>
    <s v="Diogo Ramos"/>
    <x v="2"/>
    <d v="2024-12-15T00:00:00"/>
    <x v="0"/>
    <x v="2"/>
    <x v="1"/>
    <x v="1"/>
    <x v="1"/>
    <x v="0"/>
    <x v="0"/>
    <n v="15"/>
    <n v="15"/>
  </r>
  <r>
    <n v="3525"/>
    <s v="Elisa Magalhães"/>
    <x v="1"/>
    <d v="2024-12-16T00:00:00"/>
    <x v="1"/>
    <x v="1"/>
    <x v="0"/>
    <x v="1"/>
    <x v="1"/>
    <x v="1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4B2C0-A364-493F-B81C-293CB5428507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33:C36" firstHeaderRow="1" firstDataRow="1" firstDataCol="1" rowPageCount="1" colPageCount="1"/>
  <pivotFields count="13">
    <pivotField showAll="0"/>
    <pivotField showAll="0"/>
    <pivotField multipleItemSelectionAllowed="1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h="1" x="0"/>
        <item x="2"/>
        <item t="default"/>
      </items>
    </pivotField>
    <pivotField axis="axisRow" multipleItemSelectionAllowed="1" showAll="0">
      <items count="3">
        <item sd="0" x="1"/>
        <item x="0"/>
        <item t="default"/>
      </items>
    </pivotField>
    <pivotField showAll="0">
      <items count="3">
        <item x="0"/>
        <item x="1"/>
        <item t="default"/>
      </items>
    </pivotField>
    <pivotField multipleItemSelectionAllowed="1" showAll="0">
      <items count="3">
        <item h="1" x="1"/>
        <item x="0"/>
        <item t="default"/>
      </items>
    </pivotField>
    <pivotField dataField="1" numFmtId="44" showAll="0">
      <items count="3">
        <item x="1"/>
        <item x="0"/>
        <item t="default"/>
      </items>
    </pivotField>
    <pivotField numFmtId="44" showAll="0"/>
    <pivotField numFmtId="44" showAll="0"/>
  </pivotFields>
  <rowFields count="1">
    <field x="7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7" baseItem="1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45666D-1F60-4367-ADE0-7C810AB2274B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25:C28" firstHeaderRow="1" firstDataRow="1" firstDataCol="1" rowPageCount="1" colPageCount="1"/>
  <pivotFields count="13">
    <pivotField showAll="0"/>
    <pivotField showAll="0"/>
    <pivotField multipleItemSelectionAllowed="1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h="1" x="0"/>
        <item x="2"/>
        <item t="default"/>
      </items>
    </pivotField>
    <pivotField axis="axisRow" multipleItemSelectionAllowed="1" showAll="0">
      <items count="3">
        <item sd="0"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multipleItemSelectionAllowed="1" showAll="0">
      <items count="3">
        <item h="1" x="1"/>
        <item x="0"/>
        <item t="default"/>
      </items>
    </pivotField>
    <pivotField numFmtId="44" showAll="0">
      <items count="3">
        <item x="1"/>
        <item x="0"/>
        <item t="default"/>
      </items>
    </pivotField>
    <pivotField numFmtId="44" showAll="0"/>
    <pivotField numFmtId="44" showAll="0"/>
  </pivotFields>
  <rowFields count="1">
    <field x="7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1A232-60CE-48ED-9301-D1BEB1C54DA7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16:C19" firstHeaderRow="1" firstDataRow="1" firstDataCol="1" rowPageCount="1" colPageCount="1"/>
  <pivotFields count="13">
    <pivotField showAll="0"/>
    <pivotField showAll="0"/>
    <pivotField multipleItemSelectionAllowed="1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h="1" x="0"/>
        <item x="2"/>
        <item t="default"/>
      </items>
    </pivotField>
    <pivotField axis="axisRow" multipleItemSelectionAllowed="1" showAll="0">
      <items count="3">
        <item h="1" sd="0" x="1"/>
        <item x="0"/>
        <item t="default"/>
      </items>
    </pivotField>
    <pivotField showAll="0">
      <items count="3">
        <item x="0"/>
        <item x="1"/>
        <item t="default"/>
      </items>
    </pivotField>
    <pivotField axis="axisRow" multipleItemSelectionAllowed="1" showAll="0">
      <items count="3">
        <item h="1" x="1"/>
        <item x="0"/>
        <item t="default"/>
      </items>
    </pivotField>
    <pivotField numFmtId="44" showAll="0">
      <items count="3">
        <item x="1"/>
        <item x="0"/>
        <item t="default"/>
      </items>
    </pivotField>
    <pivotField numFmtId="44" showAll="0"/>
    <pivotField dataField="1" numFmtId="44" showAll="0"/>
  </pivotFields>
  <rowFields count="2">
    <field x="7"/>
    <field x="9"/>
  </rowFields>
  <rowItems count="3">
    <i>
      <x v="1"/>
    </i>
    <i r="1"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6ED8A3-3F2E-44BE-98E3-B9CE3D780F2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8:C11" firstHeaderRow="1" firstDataRow="1" firstDataCol="1" rowPageCount="1" colPageCount="1"/>
  <pivotFields count="13">
    <pivotField showAll="0"/>
    <pivotField showAll="0"/>
    <pivotField multipleItemSelectionAllowed="1"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h="1" x="0"/>
        <item x="2"/>
        <item t="default"/>
      </items>
    </pivotField>
    <pivotField multipleItemSelectionAllowed="1" showAll="0">
      <items count="3">
        <item h="1" sd="0" x="1"/>
        <item x="0"/>
        <item t="default"/>
      </items>
    </pivotField>
    <pivotField showAll="0">
      <items count="3">
        <item x="0"/>
        <item x="1"/>
        <item t="default"/>
      </items>
    </pivotField>
    <pivotField multipleItemSelectionAllowed="1" showAll="0">
      <items count="3">
        <item h="1" x="1"/>
        <item x="0"/>
        <item t="default"/>
      </items>
    </pivotField>
    <pivotField numFmtId="44" showAll="0">
      <items count="3">
        <item x="1"/>
        <item x="0"/>
        <item t="default"/>
      </items>
    </pivotField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5ADC1C2-1274-4B65-B30B-A5F9D12BB21A}" sourceName="Subscription Type">
  <pivotTables>
    <pivotTable tabId="3" name="Tabela dinâmica2"/>
    <pivotTable tabId="3" name="Tabela dinâmica1"/>
    <pivotTable tabId="3" name="Tabela dinâmica3"/>
    <pivotTable tabId="3" name="Tabela dinâmica4"/>
  </pivotTables>
  <data>
    <tabular pivotCacheId="588204069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8532FABC-78ED-4A19-882A-761C536B9119}" cache="SegmentaçãodeDados_Subscription_Type" caption="Subscription Type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G33" sqref="G33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sqref="A1:M29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6"/>
  <sheetViews>
    <sheetView showGridLines="0" topLeftCell="B1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3" x14ac:dyDescent="0.25">
      <c r="B3" t="s">
        <v>313</v>
      </c>
    </row>
    <row r="4" spans="2:3" x14ac:dyDescent="0.25">
      <c r="B4" t="s">
        <v>317</v>
      </c>
    </row>
    <row r="6" spans="2:3" x14ac:dyDescent="0.25">
      <c r="B6" s="12" t="s">
        <v>16</v>
      </c>
      <c r="C6" t="s">
        <v>27</v>
      </c>
    </row>
    <row r="8" spans="2:3" x14ac:dyDescent="0.25">
      <c r="B8" s="12" t="s">
        <v>314</v>
      </c>
      <c r="C8" t="s">
        <v>316</v>
      </c>
    </row>
    <row r="9" spans="2:3" x14ac:dyDescent="0.25">
      <c r="B9" s="13" t="s">
        <v>23</v>
      </c>
      <c r="C9" s="14">
        <v>806</v>
      </c>
    </row>
    <row r="10" spans="2:3" x14ac:dyDescent="0.25">
      <c r="B10" s="13" t="s">
        <v>19</v>
      </c>
      <c r="C10" s="14">
        <v>1502</v>
      </c>
    </row>
    <row r="11" spans="2:3" x14ac:dyDescent="0.25">
      <c r="B11" s="13" t="s">
        <v>315</v>
      </c>
      <c r="C11" s="14">
        <v>2308</v>
      </c>
    </row>
    <row r="14" spans="2:3" x14ac:dyDescent="0.25">
      <c r="B14" s="12" t="s">
        <v>16</v>
      </c>
      <c r="C14" t="s">
        <v>27</v>
      </c>
    </row>
    <row r="16" spans="2:3" x14ac:dyDescent="0.25">
      <c r="B16" s="12" t="s">
        <v>314</v>
      </c>
      <c r="C16" t="s">
        <v>316</v>
      </c>
    </row>
    <row r="17" spans="2:5" x14ac:dyDescent="0.25">
      <c r="B17" s="13" t="s">
        <v>19</v>
      </c>
      <c r="C17" s="14">
        <v>1781</v>
      </c>
    </row>
    <row r="18" spans="2:5" x14ac:dyDescent="0.25">
      <c r="B18" s="15" t="s">
        <v>19</v>
      </c>
      <c r="C18" s="14">
        <v>1781</v>
      </c>
    </row>
    <row r="19" spans="2:5" x14ac:dyDescent="0.25">
      <c r="B19" s="13" t="s">
        <v>315</v>
      </c>
      <c r="C19" s="14">
        <v>1781</v>
      </c>
      <c r="E19" s="14">
        <f>C19</f>
        <v>1781</v>
      </c>
    </row>
    <row r="21" spans="2:5" x14ac:dyDescent="0.25">
      <c r="B21" t="s">
        <v>318</v>
      </c>
    </row>
    <row r="23" spans="2:5" x14ac:dyDescent="0.25">
      <c r="B23" s="12" t="s">
        <v>16</v>
      </c>
      <c r="C23" t="s">
        <v>27</v>
      </c>
    </row>
    <row r="25" spans="2:5" x14ac:dyDescent="0.25">
      <c r="B25" s="12" t="s">
        <v>314</v>
      </c>
      <c r="C25" t="s">
        <v>319</v>
      </c>
    </row>
    <row r="26" spans="2:5" x14ac:dyDescent="0.25">
      <c r="B26" s="13" t="s">
        <v>23</v>
      </c>
      <c r="C26" s="21">
        <v>0</v>
      </c>
      <c r="E26" s="16">
        <f>C27</f>
        <v>990</v>
      </c>
    </row>
    <row r="27" spans="2:5" x14ac:dyDescent="0.25">
      <c r="B27" s="13" t="s">
        <v>19</v>
      </c>
      <c r="C27" s="21">
        <v>990</v>
      </c>
    </row>
    <row r="28" spans="2:5" x14ac:dyDescent="0.25">
      <c r="B28" s="13" t="s">
        <v>315</v>
      </c>
      <c r="C28" s="21">
        <v>990</v>
      </c>
    </row>
    <row r="29" spans="2:5" x14ac:dyDescent="0.25">
      <c r="B29" t="s">
        <v>320</v>
      </c>
    </row>
    <row r="31" spans="2:5" x14ac:dyDescent="0.25">
      <c r="B31" s="12" t="s">
        <v>16</v>
      </c>
      <c r="C31" t="s">
        <v>27</v>
      </c>
    </row>
    <row r="33" spans="2:5" x14ac:dyDescent="0.25">
      <c r="B33" s="12" t="s">
        <v>314</v>
      </c>
      <c r="C33" t="s">
        <v>321</v>
      </c>
    </row>
    <row r="34" spans="2:5" x14ac:dyDescent="0.25">
      <c r="B34" s="13" t="s">
        <v>23</v>
      </c>
      <c r="C34" s="14">
        <v>480</v>
      </c>
    </row>
    <row r="35" spans="2:5" x14ac:dyDescent="0.25">
      <c r="B35" s="13" t="s">
        <v>19</v>
      </c>
      <c r="C35" s="14">
        <v>660</v>
      </c>
      <c r="E35" s="14">
        <f>C36</f>
        <v>1140</v>
      </c>
    </row>
    <row r="36" spans="2:5" x14ac:dyDescent="0.25">
      <c r="B36" s="13" t="s">
        <v>315</v>
      </c>
      <c r="C36" s="14">
        <v>1140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M50"/>
  <sheetViews>
    <sheetView showGridLines="0" showRowColHeaders="0" tabSelected="1" zoomScale="115" zoomScaleNormal="115" workbookViewId="0">
      <selection activeCell="J30" sqref="J30"/>
    </sheetView>
  </sheetViews>
  <sheetFormatPr defaultRowHeight="15" x14ac:dyDescent="0.25"/>
  <cols>
    <col min="1" max="1" width="27.7109375" style="6" customWidth="1"/>
    <col min="2" max="2" width="3.5703125" customWidth="1"/>
    <col min="4" max="4" width="58.28515625" customWidth="1"/>
    <col min="12" max="12" width="6.5703125" customWidth="1"/>
  </cols>
  <sheetData>
    <row r="2" spans="2:13" ht="39" customHeight="1" thickBot="1" x14ac:dyDescent="0.6">
      <c r="B2" s="7"/>
      <c r="C2" s="7"/>
      <c r="D2" s="19" t="s">
        <v>322</v>
      </c>
      <c r="E2" s="18"/>
      <c r="F2" s="18"/>
      <c r="G2" s="18"/>
      <c r="H2" s="18"/>
      <c r="I2" s="18"/>
      <c r="J2" s="18"/>
      <c r="K2" s="18"/>
      <c r="L2" s="7"/>
      <c r="M2" s="7"/>
    </row>
    <row r="3" spans="2:13" ht="8.25" customHeight="1" thickTop="1" x14ac:dyDescent="0.25">
      <c r="B3" s="7"/>
      <c r="C3" s="7"/>
      <c r="D3" s="20"/>
      <c r="E3" s="20"/>
      <c r="F3" s="20"/>
      <c r="G3" s="20"/>
      <c r="H3" s="20"/>
      <c r="I3" s="20"/>
      <c r="J3" s="20"/>
      <c r="K3" s="20"/>
      <c r="L3" s="7"/>
      <c r="M3" s="7"/>
    </row>
    <row r="4" spans="2:13" ht="9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2:13" ht="10.5" hidden="1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2:13" ht="19.5" customHeight="1" x14ac:dyDescent="0.3">
      <c r="B6" s="7"/>
      <c r="C6" s="17" t="s">
        <v>323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spans="2:13" ht="19.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2:13" ht="15.75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2:13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2:13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2:13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2:13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2:13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2:13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2:13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2:13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2:13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2:13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2:13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2:13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2:13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2:13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2:13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2:13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2:13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2:13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2:13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2:13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2:13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2:13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2:13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2:13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2:13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2:13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2:13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2:13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2:13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2:13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2:13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2:13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2:13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2:13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2:13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2:13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2:13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2:13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2:13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2:13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2:13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2:13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Luiz Afonso de Carvalho Araujo</cp:lastModifiedBy>
  <dcterms:created xsi:type="dcterms:W3CDTF">2024-12-19T13:13:10Z</dcterms:created>
  <dcterms:modified xsi:type="dcterms:W3CDTF">2026-03-13T21:32:33Z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